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susanblair/Documents/Tower_Analysis/SB Exercise/"/>
    </mc:Choice>
  </mc:AlternateContent>
  <xr:revisionPtr revIDLastSave="0" documentId="13_ncr:1_{D8C00CDF-798B-C243-8620-4362BDB31861}" xr6:coauthVersionLast="47" xr6:coauthVersionMax="47" xr10:uidLastSave="{00000000-0000-0000-0000-000000000000}"/>
  <bookViews>
    <workbookView xWindow="660" yWindow="600" windowWidth="28140" windowHeight="16940" xr2:uid="{56A87DD2-7F75-784F-9DB0-3E345D47F357}"/>
  </bookViews>
  <sheets>
    <sheet name="Executive_Dashboard" sheetId="20" r:id="rId1"/>
    <sheet name="Dashboard_Data" sheetId="18" r:id="rId2"/>
    <sheet name="MASTER_UNIFIED_PORTFOLIO" sheetId="15" r:id="rId3"/>
    <sheet name="Pivots" sheetId="16" r:id="rId4"/>
    <sheet name="Calc" sheetId="8" r:id="rId5"/>
    <sheet name="UnLeased" sheetId="14" r:id="rId6"/>
    <sheet name="LeaseUp" sheetId="6" r:id="rId7"/>
    <sheet name="PayBack" sheetId="7" r:id="rId8"/>
    <sheet name="OLDExecutive_Dashboard" sheetId="1" state="hidden" r:id="rId9"/>
  </sheets>
  <definedNames>
    <definedName name="_xlnm._FilterDatabase" localSheetId="2" hidden="1">MASTER_UNIFIED_PORTFOLIO!$A$1:$AC$501</definedName>
    <definedName name="LeasUp" localSheetId="1">#REF!</definedName>
    <definedName name="LeasUp">#REF!</definedName>
    <definedName name="Master">MASTER_UNIFIED_PORTFOLIO!$A:$AC</definedName>
    <definedName name="PayBack" localSheetId="1">#REF!</definedName>
    <definedName name="PayBack">#REF!</definedName>
    <definedName name="SBDATA">Dashboard_Data!$AE$1:$AH$20</definedName>
    <definedName name="Slicer_Lease_Up_Potential1" localSheetId="1">#N/A</definedName>
    <definedName name="Slicer_Lease_Up_Potential1">#N/A</definedName>
    <definedName name="Slicer_Site_classification1" localSheetId="1">#N/A</definedName>
    <definedName name="Slicer_Site_classification1">#N/A</definedName>
    <definedName name="Slicer_State1" localSheetId="1">#N/A</definedName>
    <definedName name="Slicer_State1">#N/A</definedName>
    <definedName name="Unleased" localSheetId="1">#REF!</definedName>
    <definedName name="Unleased">#REF!</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45" i="20" l="1"/>
  <c r="H45" i="20"/>
  <c r="D45" i="20"/>
  <c r="L44" i="20"/>
  <c r="H44" i="20"/>
  <c r="D44" i="20"/>
  <c r="D43" i="20"/>
  <c r="H42" i="20"/>
  <c r="L42" i="20"/>
  <c r="D42" i="20"/>
  <c r="AF7" i="18" l="1"/>
  <c r="AF3" i="18" l="1"/>
  <c r="B7" i="8"/>
  <c r="B6" i="8"/>
  <c r="C7" i="8"/>
  <c r="C6" i="8"/>
  <c r="M1" i="14"/>
  <c r="B2" i="8"/>
  <c r="C2" i="8"/>
  <c r="B5" i="8"/>
  <c r="B10" i="8"/>
  <c r="B9" i="8"/>
  <c r="B8" i="8"/>
  <c r="C10" i="8"/>
  <c r="C9" i="8"/>
  <c r="C8" i="8"/>
  <c r="C5" i="8"/>
  <c r="C4" i="8"/>
  <c r="C3" i="8"/>
  <c r="B4" i="8"/>
  <c r="B3" i="8"/>
  <c r="S2" i="18" l="1"/>
  <c r="AG10" i="18"/>
  <c r="AA4" i="18"/>
  <c r="L3" i="18"/>
  <c r="AA6" i="18"/>
  <c r="Z4" i="18"/>
  <c r="Z3" i="18"/>
  <c r="K2" i="18"/>
  <c r="K4" i="18"/>
  <c r="L4" i="18"/>
  <c r="Z5" i="18"/>
  <c r="AA5" i="18"/>
  <c r="Z2" i="18"/>
  <c r="S3" i="18"/>
  <c r="L2" i="18"/>
  <c r="AA2" i="18"/>
  <c r="Z6" i="18"/>
  <c r="AB6" i="18" s="1"/>
  <c r="K3" i="18"/>
  <c r="AA3" i="18"/>
  <c r="AB3" i="18" s="1"/>
  <c r="AB5" i="18" l="1"/>
  <c r="AB4" i="18"/>
  <c r="R3" i="18"/>
  <c r="AF14" i="18" s="1"/>
  <c r="V2" i="18"/>
  <c r="W2" i="18"/>
  <c r="V3" i="18"/>
  <c r="R2" i="18"/>
  <c r="AF13" i="18" s="1"/>
  <c r="W4" i="18"/>
  <c r="V4" i="18"/>
  <c r="AF11" i="18" s="1"/>
  <c r="AF12" i="18" s="1"/>
  <c r="W3" i="18"/>
  <c r="AB2" i="18"/>
  <c r="AF15" i="18" l="1"/>
  <c r="AF16" i="18"/>
</calcChain>
</file>

<file path=xl/sharedStrings.xml><?xml version="1.0" encoding="utf-8"?>
<sst xmlns="http://schemas.openxmlformats.org/spreadsheetml/2006/main" count="12771" uniqueCount="135">
  <si>
    <t>Site Number</t>
  </si>
  <si>
    <t>Site classification</t>
  </si>
  <si>
    <t>State</t>
  </si>
  <si>
    <t>Tower Type</t>
  </si>
  <si>
    <t>Height</t>
  </si>
  <si>
    <t>Year Built</t>
  </si>
  <si>
    <t>Anchor Tenant Name</t>
  </si>
  <si>
    <t>Capex</t>
  </si>
  <si>
    <t>Additional_Tenant_Count</t>
  </si>
  <si>
    <t>Suburban</t>
  </si>
  <si>
    <t>AZ</t>
  </si>
  <si>
    <t>SST</t>
  </si>
  <si>
    <t>Tenant B</t>
  </si>
  <si>
    <t>Monopole</t>
  </si>
  <si>
    <t>Tenant A</t>
  </si>
  <si>
    <t>FL</t>
  </si>
  <si>
    <t>Rural</t>
  </si>
  <si>
    <t>PA</t>
  </si>
  <si>
    <t>Tenant D</t>
  </si>
  <si>
    <t>OR</t>
  </si>
  <si>
    <t>Urban</t>
  </si>
  <si>
    <t>Stealth - Flagpole</t>
  </si>
  <si>
    <t>Tenant C</t>
  </si>
  <si>
    <t>TX</t>
  </si>
  <si>
    <t>Guyed Tower</t>
  </si>
  <si>
    <t>86864.40000000001</t>
  </si>
  <si>
    <t>25215.300000000003</t>
  </si>
  <si>
    <t>33214.799999999996</t>
  </si>
  <si>
    <t>30138.480000000003</t>
  </si>
  <si>
    <t>Stealth - Monopine</t>
  </si>
  <si>
    <t>24252.800000000003</t>
  </si>
  <si>
    <t>28757.800000000003</t>
  </si>
  <si>
    <t>35850.600000000006</t>
  </si>
  <si>
    <t>41977.060000000005</t>
  </si>
  <si>
    <t>32908.799999999996</t>
  </si>
  <si>
    <t>35134.560000000005</t>
  </si>
  <si>
    <t>21612.960000000003</t>
  </si>
  <si>
    <t>Stack_Rank</t>
  </si>
  <si>
    <t>Lease_Up_Potential</t>
  </si>
  <si>
    <t>Leaseup_Score</t>
  </si>
  <si>
    <t>High Lease Up Potential</t>
  </si>
  <si>
    <t>Low Lease Up Potential</t>
  </si>
  <si>
    <t>Anchor Tenant Starting Monthly Rent</t>
  </si>
  <si>
    <t>Ground Lease Rent OPEX</t>
  </si>
  <si>
    <t>Net_Annual_Income</t>
  </si>
  <si>
    <t>Payback_Years</t>
  </si>
  <si>
    <t>Payback_Category</t>
  </si>
  <si>
    <t>5-10 years Pay Back</t>
  </si>
  <si>
    <t>10+ years Pay Back</t>
  </si>
  <si>
    <t>1-5 years Pay Back</t>
  </si>
  <si>
    <t>Total Unleased Sites</t>
  </si>
  <si>
    <t>High Potential Sites</t>
  </si>
  <si>
    <t>Low Potential Sites</t>
  </si>
  <si>
    <t>High Potential Share</t>
  </si>
  <si>
    <t>Total Portfolio Capex</t>
  </si>
  <si>
    <t>Avg Payback Period</t>
  </si>
  <si>
    <t>1-5 Yr Payback</t>
  </si>
  <si>
    <t>5-10 yr Payback</t>
  </si>
  <si>
    <t>10 + Yr Payback</t>
  </si>
  <si>
    <t>Row Labels</t>
  </si>
  <si>
    <t>Grand Total</t>
  </si>
  <si>
    <t>Column Labels</t>
  </si>
  <si>
    <t>Sum of Site Number</t>
  </si>
  <si>
    <t>Density &amp; Growth</t>
  </si>
  <si>
    <t>(All)</t>
  </si>
  <si>
    <t>Structural Profile</t>
  </si>
  <si>
    <t>Count of Site Number</t>
  </si>
  <si>
    <t>Average of Capex</t>
  </si>
  <si>
    <t>Average of Net_Annual_Income</t>
  </si>
  <si>
    <t>Financial Profile</t>
  </si>
  <si>
    <t>2015-2019</t>
  </si>
  <si>
    <t>2020-2025</t>
  </si>
  <si>
    <t>Age Profile</t>
  </si>
  <si>
    <t xml:space="preserve">         </t>
  </si>
  <si>
    <t xml:space="preserve"> </t>
  </si>
  <si>
    <t>Pillar / Strategic Area</t>
  </si>
  <si>
    <t>Key Metric &amp; Insight</t>
  </si>
  <si>
    <t>Pillar 1: Density &amp; Growth</t>
  </si>
  <si>
    <r>
      <t>44.1% High Potential</t>
    </r>
    <r>
      <rPr>
        <sz val="12"/>
        <color rgb="FF000000"/>
        <rFont val="Aptos Narrow"/>
        <family val="2"/>
        <scheme val="minor"/>
      </rPr>
      <t> (187 sites) concentrated in Urban/Suburban hubs.</t>
    </r>
  </si>
  <si>
    <r>
      <t>Opportunity:</t>
    </r>
    <r>
      <rPr>
        <sz val="12"/>
        <color rgb="FF000000"/>
        <rFont val="Aptos Narrow"/>
        <family val="2"/>
        <scheme val="minor"/>
      </rPr>
      <t> High demand density and carrier network densification needs.</t>
    </r>
  </si>
  <si>
    <t>Prioritize sales outreach &amp; fast-track co-location leasing in Top Urban markets.</t>
  </si>
  <si>
    <t>Pillar 2: Structural Profile</t>
  </si>
  <si>
    <r>
      <t>Monopole dominance (~60%)</t>
    </r>
    <r>
      <rPr>
        <sz val="12"/>
        <color rgb="FF000000"/>
        <rFont val="Aptos Narrow"/>
        <family val="2"/>
        <scheme val="minor"/>
      </rPr>
      <t> with structural capacity for 2–3 additional tenancy slots.</t>
    </r>
  </si>
  <si>
    <r>
      <t>Risk:</t>
    </r>
    <r>
      <rPr>
        <sz val="12"/>
        <color rgb="FF000000"/>
        <rFont val="Aptos Narrow"/>
        <family val="2"/>
        <scheme val="minor"/>
      </rPr>
      <t> Overloading existing structural limits without CapEx upgrades.</t>
    </r>
  </si>
  <si>
    <t>Standardize structural modifications (RAD center extensions) for rapid carrier mounting.</t>
  </si>
  <si>
    <r>
      <t>Avg. CapEx per site: ~$308K</t>
    </r>
    <r>
      <rPr>
        <sz val="12"/>
        <color rgb="FF000000"/>
        <rFont val="Aptos Narrow"/>
        <family val="2"/>
        <scheme val="minor"/>
      </rPr>
      <t>; 68% of inventory falls in the </t>
    </r>
    <r>
      <rPr>
        <b/>
        <sz val="12"/>
        <color rgb="FF000000"/>
        <rFont val="Aptos Narrow"/>
        <family val="2"/>
        <scheme val="minor"/>
      </rPr>
      <t>5–10 Year Payback</t>
    </r>
    <r>
      <rPr>
        <sz val="12"/>
        <color rgb="FF000000"/>
        <rFont val="Aptos Narrow"/>
        <family val="2"/>
        <scheme val="minor"/>
      </rPr>
      <t> tranche.</t>
    </r>
  </si>
  <si>
    <t>Direct capital allocation toward sites with immediate multi-tenant leasing potential.</t>
  </si>
  <si>
    <r>
      <t>Peak construction (2015–2019)</t>
    </r>
    <r>
      <rPr>
        <sz val="12"/>
        <color rgb="FF000000"/>
        <rFont val="Aptos Narrow"/>
        <family val="2"/>
        <scheme val="minor"/>
      </rPr>
      <t>accounts for the largest cohort of unleased assets.</t>
    </r>
  </si>
  <si>
    <r>
      <t>Risk:</t>
    </r>
    <r>
      <rPr>
        <sz val="12"/>
        <color rgb="FF000000"/>
        <rFont val="Aptos Narrow"/>
        <family val="2"/>
        <scheme val="minor"/>
      </rPr>
      <t> Aging structural assets may require deferred maintenance before tenancy.</t>
    </r>
  </si>
  <si>
    <t>Audit 10+ year vintage sites for structural integrity during tenancy onboarding.</t>
  </si>
  <si>
    <t xml:space="preserve"> Risk / Opportunity</t>
  </si>
  <si>
    <t xml:space="preserve"> Recommendation</t>
  </si>
  <si>
    <t>Pillar 3: Financial Profile</t>
  </si>
  <si>
    <t>Pillar 4: Age Profile</t>
  </si>
  <si>
    <t>Site Number.1</t>
  </si>
  <si>
    <t>Site classification.1</t>
  </si>
  <si>
    <t>State.1</t>
  </si>
  <si>
    <t>Tower Type.1</t>
  </si>
  <si>
    <t>Height.1</t>
  </si>
  <si>
    <t>Year Built.1</t>
  </si>
  <si>
    <t>Anchor Tenant Name.1</t>
  </si>
  <si>
    <t>Capex.1</t>
  </si>
  <si>
    <t>Site Number.2</t>
  </si>
  <si>
    <t>Site classification.2</t>
  </si>
  <si>
    <t>State.2</t>
  </si>
  <si>
    <t>Capex.2</t>
  </si>
  <si>
    <t>(blank)</t>
  </si>
  <si>
    <t>Pending Review</t>
  </si>
  <si>
    <t>N/A</t>
  </si>
  <si>
    <r>
      <t>Opportunity:</t>
    </r>
    <r>
      <rPr>
        <sz val="12"/>
        <color rgb="FF000000"/>
        <rFont val="Aptos Narrow"/>
        <family val="2"/>
        <scheme val="minor"/>
      </rPr>
      <t> High-potential sites yield accelerated ROI (12.6 yrs payback).</t>
    </r>
  </si>
  <si>
    <t>Classification</t>
  </si>
  <si>
    <t>High Potential</t>
  </si>
  <si>
    <t>Low Potential</t>
  </si>
  <si>
    <t>Payback Category</t>
  </si>
  <si>
    <t>Site Count</t>
  </si>
  <si>
    <t>Share of Portfolio</t>
  </si>
  <si>
    <t>Lease-Up Potential</t>
  </si>
  <si>
    <t>Avg Payback (Yrs)</t>
  </si>
  <si>
    <t>Total</t>
  </si>
  <si>
    <t>KPI</t>
  </si>
  <si>
    <t>Already Multi-Tenant Sites</t>
  </si>
  <si>
    <t>Candidate Pool (Unleased)</t>
  </si>
  <si>
    <t>Avg CAPEX / Site (all 500)</t>
  </si>
  <si>
    <t>Total Portfolio CAPEX</t>
  </si>
  <si>
    <t>Sites in 10+ Yr Payback Tier</t>
  </si>
  <si>
    <t xml:space="preserve">  ...of which High Potential</t>
  </si>
  <si>
    <t xml:space="preserve">  ...share of 10+ tier that is High Potential</t>
  </si>
  <si>
    <t>Avg Payback - High Potential (anchor-only)</t>
  </si>
  <si>
    <t>Avg Payback - Low Potential (anchor-only)</t>
  </si>
  <si>
    <t>Dominant Tower Type (all unleased)</t>
  </si>
  <si>
    <t>Dominant Tower Type Share</t>
  </si>
  <si>
    <t>Total Sites</t>
  </si>
  <si>
    <t>STRATEGIC INSIGHTS</t>
  </si>
  <si>
    <t>Prioritize SST inventory for near-term co-location sales motion.</t>
  </si>
  <si>
    <t>Opportunity: SST towers show the strongest lease-up flag rate of any structure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</si>
</sst>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16">
    <font>
      <sz val="12"/>
      <color theme="1"/>
      <name val="Aptos Narrow"/>
      <family val="2"/>
      <scheme val="minor"/>
    </font>
    <font>
      <sz val="14"/>
      <color rgb="FF000000"/>
      <name val="-webkit-standard"/>
    </font>
    <font>
      <sz val="12"/>
      <color rgb="FF000000"/>
      <name val="Aptos Narrow"/>
      <family val="2"/>
      <scheme val="minor"/>
    </font>
    <font>
      <sz val="14"/>
      <color rgb="FF000000"/>
      <name val="Aptos Display"/>
      <scheme val="major"/>
    </font>
    <font>
      <sz val="14"/>
      <color theme="1"/>
      <name val="Aptos Display"/>
      <scheme val="major"/>
    </font>
    <font>
      <sz val="14"/>
      <color theme="1"/>
      <name val="Aptos Narrow"/>
      <family val="2"/>
      <scheme val="minor"/>
    </font>
    <font>
      <b/>
      <sz val="16"/>
      <color rgb="FF000000"/>
      <name val="Aptos Display"/>
      <scheme val="major"/>
    </font>
    <font>
      <b/>
      <sz val="12"/>
      <color rgb="FF000000"/>
      <name val="Aptos Narrow"/>
      <family val="2"/>
      <scheme val="minor"/>
    </font>
    <font>
      <b/>
      <sz val="12"/>
      <color rgb="FF002F5C"/>
      <name val="Aptos Narrow"/>
      <family val="2"/>
      <scheme val="minor"/>
    </font>
    <font>
      <b/>
      <sz val="10"/>
      <color rgb="FFFFFFFF"/>
      <name val="Arial Unicode MS"/>
      <family val="2"/>
    </font>
    <font>
      <sz val="12"/>
      <color theme="1"/>
      <name val="Aptos Narrow"/>
      <family val="2"/>
      <scheme val="minor"/>
    </font>
    <font>
      <sz val="12"/>
      <color theme="1"/>
      <name val="Aptos Narrow"/>
      <family val="2"/>
      <charset val="1"/>
    </font>
    <font>
      <b/>
      <sz val="11"/>
      <name val="Cambria"/>
      <family val="1"/>
    </font>
    <font>
      <b/>
      <sz val="12"/>
      <color theme="1"/>
      <name val="Aptos Narrow"/>
    </font>
    <font>
      <b/>
      <sz val="16"/>
      <color theme="1"/>
      <name val="Aptos Narrow"/>
      <scheme val="minor"/>
    </font>
    <font>
      <sz val="12"/>
      <color rgb="FF000000"/>
      <name val="Aptos Narrow"/>
      <scheme val="minor"/>
    </font>
  </fonts>
  <fills count="5">
    <fill>
      <patternFill patternType="none"/>
    </fill>
    <fill>
      <patternFill patternType="gray125"/>
    </fill>
    <fill>
      <patternFill patternType="solid">
        <fgColor rgb="FFF4F7F9"/>
        <bgColor indexed="64"/>
      </patternFill>
    </fill>
    <fill>
      <patternFill patternType="solid">
        <fgColor rgb="FF002F5C"/>
        <bgColor indexed="64"/>
      </patternFill>
    </fill>
    <fill>
      <patternFill patternType="solid">
        <fgColor rgb="FFF5F8FA"/>
        <bgColor indexed="64"/>
      </patternFill>
    </fill>
  </fills>
  <borders count="2">
    <border>
      <left/>
      <right/>
      <top/>
      <bottom/>
      <diagonal/>
    </border>
    <border>
      <left style="thin">
        <color rgb="FF6494BA"/>
      </left>
      <right style="thin">
        <color rgb="FF6494BA"/>
      </right>
      <top style="thin">
        <color rgb="FF6494BA"/>
      </top>
      <bottom style="thin">
        <color rgb="FF6494BA"/>
      </bottom>
      <diagonal/>
    </border>
  </borders>
  <cellStyleXfs count="3">
    <xf numFmtId="0" fontId="0" fillId="0" borderId="0"/>
    <xf numFmtId="9" fontId="10" fillId="0" borderId="0" applyFont="0" applyFill="0" applyBorder="0" applyAlignment="0" applyProtection="0"/>
    <xf numFmtId="0" fontId="11" fillId="0" borderId="0"/>
  </cellStyleXfs>
  <cellXfs count="31">
    <xf numFmtId="0" fontId="0" fillId="0" borderId="0" xfId="0"/>
    <xf numFmtId="0" fontId="0" fillId="0" borderId="0" xfId="0" quotePrefix="1"/>
    <xf numFmtId="0" fontId="1" fillId="0" borderId="0" xfId="0" applyFont="1"/>
    <xf numFmtId="0" fontId="3" fillId="0" borderId="0" xfId="0" applyFon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2" borderId="0" xfId="0" applyFill="1"/>
    <xf numFmtId="0" fontId="0" fillId="4" borderId="0" xfId="0" applyFill="1"/>
    <xf numFmtId="2" fontId="0" fillId="0" borderId="0" xfId="0" applyNumberFormat="1"/>
    <xf numFmtId="2" fontId="0" fillId="0" borderId="0" xfId="0" quotePrefix="1" applyNumberFormat="1"/>
    <xf numFmtId="0" fontId="12" fillId="0" borderId="0" xfId="2" applyFont="1"/>
    <xf numFmtId="0" fontId="11" fillId="0" borderId="0" xfId="2"/>
    <xf numFmtId="164" fontId="11" fillId="0" borderId="0" xfId="2" applyNumberFormat="1"/>
    <xf numFmtId="165" fontId="11" fillId="0" borderId="0" xfId="2" applyNumberFormat="1"/>
    <xf numFmtId="9" fontId="11" fillId="0" borderId="0" xfId="1" applyFont="1"/>
    <xf numFmtId="0" fontId="13" fillId="0" borderId="0" xfId="0" applyFont="1"/>
    <xf numFmtId="164" fontId="0" fillId="0" borderId="0" xfId="0" applyNumberFormat="1"/>
    <xf numFmtId="166" fontId="0" fillId="0" borderId="0" xfId="0" applyNumberFormat="1"/>
    <xf numFmtId="165" fontId="0" fillId="0" borderId="0" xfId="0" applyNumberFormat="1"/>
    <xf numFmtId="9" fontId="0" fillId="0" borderId="0" xfId="1" applyFont="1"/>
    <xf numFmtId="0" fontId="14" fillId="2" borderId="0" xfId="0" applyFont="1" applyFill="1"/>
    <xf numFmtId="0" fontId="9" fillId="3" borderId="1" xfId="0" applyFont="1" applyFill="1" applyBorder="1" applyAlignment="1">
      <alignment horizontal="center"/>
    </xf>
    <xf numFmtId="0" fontId="8" fillId="0" borderId="1" xfId="0" applyFont="1" applyBorder="1" applyAlignment="1">
      <alignment horizontal="center" vertical="center" wrapText="1"/>
    </xf>
    <xf numFmtId="0" fontId="15" fillId="0" borderId="1" xfId="0" applyFont="1" applyBorder="1" applyAlignment="1">
      <alignment horizontal="center" vertical="top" wrapText="1"/>
    </xf>
    <xf numFmtId="0" fontId="6" fillId="0" borderId="0" xfId="0" applyFont="1" applyAlignment="1">
      <alignment horizontal="center"/>
    </xf>
    <xf numFmtId="0" fontId="9" fillId="3" borderId="0" xfId="0" applyFont="1" applyFill="1" applyAlignment="1">
      <alignment horizontal="center"/>
    </xf>
    <xf numFmtId="0" fontId="7" fillId="0" borderId="0" xfId="0" applyFont="1" applyAlignment="1">
      <alignment horizontal="left" vertical="top" wrapText="1"/>
    </xf>
    <xf numFmtId="0" fontId="2" fillId="0" borderId="0" xfId="0" applyFont="1" applyAlignment="1">
      <alignment horizontal="left" vertical="top" wrapText="1"/>
    </xf>
    <xf numFmtId="0" fontId="8" fillId="0" borderId="0" xfId="0" applyFont="1" applyAlignment="1">
      <alignment vertical="top" wrapText="1"/>
    </xf>
  </cellXfs>
  <cellStyles count="3">
    <cellStyle name="Normal" xfId="0" builtinId="0"/>
    <cellStyle name="Normal 2" xfId="2" xr:uid="{1D5933E8-E334-904D-92FE-A90D7A3A17B1}"/>
    <cellStyle name="Percent" xfId="1" builtinId="5"/>
  </cellStyles>
  <dxfs count="1">
    <dxf>
      <numFmt numFmtId="2" formatCode="0.00"/>
    </dxf>
  </dxfs>
  <tableStyles count="0" defaultTableStyle="TableStyleMedium2" defaultPivotStyle="PivotStyleLight16"/>
  <colors>
    <mruColors>
      <color rgb="FF6494BA"/>
      <color rgb="FF052149"/>
      <color rgb="FFEFF4F8"/>
      <color rgb="FF84C559"/>
      <color rgb="FF0096C7"/>
      <color rgb="FF002F5C"/>
      <color rgb="FFFFFFFF"/>
      <color rgb="FFF5F8FA"/>
      <color rgb="FFF4F7F9"/>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Sample.xlsx]Pivots!PivotTable1</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&amp; Growth</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Pivots!$B$2:$B$3</c:f>
              <c:strCache>
                <c:ptCount val="1"/>
                <c:pt idx="0">
                  <c:v>High Lease Up Potential</c:v>
                </c:pt>
              </c:strCache>
            </c:strRef>
          </c:tx>
          <c:spPr>
            <a:solidFill>
              <a:srgbClr val="052149"/>
            </a:solidFill>
            <a:ln>
              <a:noFill/>
            </a:ln>
            <a:effectLst/>
          </c:spPr>
          <c:invertIfNegative val="0"/>
          <c:cat>
            <c:strRef>
              <c:f>Pivots!$A$4:$A$8</c:f>
              <c:strCache>
                <c:ptCount val="4"/>
                <c:pt idx="0">
                  <c:v>Rural</c:v>
                </c:pt>
                <c:pt idx="1">
                  <c:v>Suburban</c:v>
                </c:pt>
                <c:pt idx="2">
                  <c:v>Urban</c:v>
                </c:pt>
                <c:pt idx="3">
                  <c:v>(blank)</c:v>
                </c:pt>
              </c:strCache>
            </c:strRef>
          </c:cat>
          <c:val>
            <c:numRef>
              <c:f>Pivots!$B$4:$B$8</c:f>
              <c:numCache>
                <c:formatCode>General</c:formatCode>
                <c:ptCount val="4"/>
                <c:pt idx="0">
                  <c:v>41779</c:v>
                </c:pt>
                <c:pt idx="1">
                  <c:v>26809</c:v>
                </c:pt>
                <c:pt idx="2">
                  <c:v>5654</c:v>
                </c:pt>
              </c:numCache>
            </c:numRef>
          </c:val>
          <c:extLst>
            <c:ext xmlns:c16="http://schemas.microsoft.com/office/drawing/2014/chart" uri="{C3380CC4-5D6E-409C-BE32-E72D297353CC}">
              <c16:uniqueId val="{00000000-AE1F-8643-B7A1-F0BFF9F448F2}"/>
            </c:ext>
          </c:extLst>
        </c:ser>
        <c:ser>
          <c:idx val="1"/>
          <c:order val="1"/>
          <c:tx>
            <c:strRef>
              <c:f>Pivots!$C$2:$C$3</c:f>
              <c:strCache>
                <c:ptCount val="1"/>
                <c:pt idx="0">
                  <c:v>Low Lease Up Potential</c:v>
                </c:pt>
              </c:strCache>
            </c:strRef>
          </c:tx>
          <c:spPr>
            <a:solidFill>
              <a:srgbClr val="84C559"/>
            </a:solidFill>
            <a:ln>
              <a:noFill/>
            </a:ln>
            <a:effectLst/>
          </c:spPr>
          <c:invertIfNegative val="0"/>
          <c:cat>
            <c:strRef>
              <c:f>Pivots!$A$4:$A$8</c:f>
              <c:strCache>
                <c:ptCount val="4"/>
                <c:pt idx="0">
                  <c:v>Rural</c:v>
                </c:pt>
                <c:pt idx="1">
                  <c:v>Suburban</c:v>
                </c:pt>
                <c:pt idx="2">
                  <c:v>Urban</c:v>
                </c:pt>
                <c:pt idx="3">
                  <c:v>(blank)</c:v>
                </c:pt>
              </c:strCache>
            </c:strRef>
          </c:cat>
          <c:val>
            <c:numRef>
              <c:f>Pivots!$C$4:$C$8</c:f>
              <c:numCache>
                <c:formatCode>General</c:formatCode>
                <c:ptCount val="4"/>
                <c:pt idx="0">
                  <c:v>15294</c:v>
                </c:pt>
                <c:pt idx="1">
                  <c:v>18007</c:v>
                </c:pt>
                <c:pt idx="2">
                  <c:v>3813</c:v>
                </c:pt>
              </c:numCache>
            </c:numRef>
          </c:val>
          <c:extLst>
            <c:ext xmlns:c16="http://schemas.microsoft.com/office/drawing/2014/chart" uri="{C3380CC4-5D6E-409C-BE32-E72D297353CC}">
              <c16:uniqueId val="{00000003-9682-4F48-BC23-95378EE3DA78}"/>
            </c:ext>
          </c:extLst>
        </c:ser>
        <c:ser>
          <c:idx val="2"/>
          <c:order val="2"/>
          <c:tx>
            <c:strRef>
              <c:f>Pivots!$D$2:$D$3</c:f>
              <c:strCache>
                <c:ptCount val="1"/>
                <c:pt idx="0">
                  <c:v>(blank)</c:v>
                </c:pt>
              </c:strCache>
            </c:strRef>
          </c:tx>
          <c:spPr>
            <a:solidFill>
              <a:schemeClr val="accent3"/>
            </a:solidFill>
            <a:ln>
              <a:noFill/>
            </a:ln>
            <a:effectLst/>
          </c:spPr>
          <c:invertIfNegative val="0"/>
          <c:cat>
            <c:strRef>
              <c:f>Pivots!$A$4:$A$8</c:f>
              <c:strCache>
                <c:ptCount val="4"/>
                <c:pt idx="0">
                  <c:v>Rural</c:v>
                </c:pt>
                <c:pt idx="1">
                  <c:v>Suburban</c:v>
                </c:pt>
                <c:pt idx="2">
                  <c:v>Urban</c:v>
                </c:pt>
                <c:pt idx="3">
                  <c:v>(blank)</c:v>
                </c:pt>
              </c:strCache>
            </c:strRef>
          </c:cat>
          <c:val>
            <c:numRef>
              <c:f>Pivots!$D$4:$D$8</c:f>
              <c:numCache>
                <c:formatCode>General</c:formatCode>
                <c:ptCount val="4"/>
              </c:numCache>
            </c:numRef>
          </c:val>
          <c:extLst>
            <c:ext xmlns:c16="http://schemas.microsoft.com/office/drawing/2014/chart" uri="{C3380CC4-5D6E-409C-BE32-E72D297353CC}">
              <c16:uniqueId val="{00000005-9682-4F48-BC23-95378EE3DA78}"/>
            </c:ext>
          </c:extLst>
        </c:ser>
        <c:dLbls>
          <c:showLegendKey val="0"/>
          <c:showVal val="0"/>
          <c:showCatName val="0"/>
          <c:showSerName val="0"/>
          <c:showPercent val="0"/>
          <c:showBubbleSize val="0"/>
        </c:dLbls>
        <c:gapWidth val="219"/>
        <c:overlap val="100"/>
        <c:axId val="448397312"/>
        <c:axId val="448399104"/>
      </c:barChart>
      <c:catAx>
        <c:axId val="44839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9104"/>
        <c:crosses val="autoZero"/>
        <c:auto val="1"/>
        <c:lblAlgn val="ctr"/>
        <c:lblOffset val="100"/>
        <c:noMultiLvlLbl val="0"/>
      </c:catAx>
      <c:valAx>
        <c:axId val="448399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Sample.xlsx]Pivots!PivotTable2</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Structural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Pivots!$B$12:$B$13</c:f>
              <c:strCache>
                <c:ptCount val="1"/>
                <c:pt idx="0">
                  <c:v>High Lease Up Potential</c:v>
                </c:pt>
              </c:strCache>
            </c:strRef>
          </c:tx>
          <c:spPr>
            <a:solidFill>
              <a:srgbClr val="052149"/>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Pivots!$B$14:$B$19</c:f>
              <c:numCache>
                <c:formatCode>General</c:formatCode>
                <c:ptCount val="5"/>
                <c:pt idx="0">
                  <c:v>1952</c:v>
                </c:pt>
                <c:pt idx="1">
                  <c:v>23663</c:v>
                </c:pt>
                <c:pt idx="2">
                  <c:v>47076</c:v>
                </c:pt>
                <c:pt idx="3">
                  <c:v>703</c:v>
                </c:pt>
                <c:pt idx="4">
                  <c:v>848</c:v>
                </c:pt>
              </c:numCache>
            </c:numRef>
          </c:val>
          <c:extLst>
            <c:ext xmlns:c16="http://schemas.microsoft.com/office/drawing/2014/chart" uri="{C3380CC4-5D6E-409C-BE32-E72D297353CC}">
              <c16:uniqueId val="{00000000-B094-D84F-8FC3-D4C2D062B03C}"/>
            </c:ext>
          </c:extLst>
        </c:ser>
        <c:ser>
          <c:idx val="1"/>
          <c:order val="1"/>
          <c:tx>
            <c:strRef>
              <c:f>Pivots!$C$12:$C$13</c:f>
              <c:strCache>
                <c:ptCount val="1"/>
                <c:pt idx="0">
                  <c:v>Low Lease Up Potential</c:v>
                </c:pt>
              </c:strCache>
            </c:strRef>
          </c:tx>
          <c:spPr>
            <a:solidFill>
              <a:srgbClr val="84C559"/>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Pivots!$C$14:$C$19</c:f>
              <c:numCache>
                <c:formatCode>General</c:formatCode>
                <c:ptCount val="5"/>
                <c:pt idx="0">
                  <c:v>1103</c:v>
                </c:pt>
                <c:pt idx="1">
                  <c:v>15395</c:v>
                </c:pt>
                <c:pt idx="2">
                  <c:v>20420</c:v>
                </c:pt>
                <c:pt idx="3">
                  <c:v>196</c:v>
                </c:pt>
              </c:numCache>
            </c:numRef>
          </c:val>
          <c:extLst>
            <c:ext xmlns:c16="http://schemas.microsoft.com/office/drawing/2014/chart" uri="{C3380CC4-5D6E-409C-BE32-E72D297353CC}">
              <c16:uniqueId val="{00000003-52C2-214E-BD95-ED912C31C923}"/>
            </c:ext>
          </c:extLst>
        </c:ser>
        <c:dLbls>
          <c:showLegendKey val="0"/>
          <c:showVal val="0"/>
          <c:showCatName val="0"/>
          <c:showSerName val="0"/>
          <c:showPercent val="0"/>
          <c:showBubbleSize val="0"/>
        </c:dLbls>
        <c:gapWidth val="219"/>
        <c:overlap val="-27"/>
        <c:axId val="115512576"/>
        <c:axId val="115515712"/>
      </c:barChart>
      <c:catAx>
        <c:axId val="1155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515712"/>
        <c:crosses val="autoZero"/>
        <c:auto val="1"/>
        <c:lblAlgn val="ctr"/>
        <c:lblOffset val="100"/>
        <c:noMultiLvlLbl val="0"/>
      </c:catAx>
      <c:valAx>
        <c:axId val="11551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51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rgbClr val="6494BA"/>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a:t>
            </a:r>
            <a:r>
              <a:rPr lang="en-US" baseline="0"/>
              <a:t> Profile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Pivots!$B$23</c:f>
              <c:strCache>
                <c:ptCount val="1"/>
                <c:pt idx="0">
                  <c:v>Count of Site Number</c:v>
                </c:pt>
              </c:strCache>
            </c:strRef>
          </c:tx>
          <c:spPr>
            <a:solidFill>
              <a:srgbClr val="002F5C"/>
            </a:solidFill>
            <a:ln>
              <a:noFill/>
            </a:ln>
            <a:effectLst/>
          </c:spPr>
          <c:invertIfNegative val="0"/>
          <c:cat>
            <c:strRef>
              <c:f>Pivots!$A$24:$A$27</c:f>
              <c:strCache>
                <c:ptCount val="3"/>
                <c:pt idx="0">
                  <c:v>1-5 years Pay Back</c:v>
                </c:pt>
                <c:pt idx="1">
                  <c:v>10+ years Pay Back</c:v>
                </c:pt>
                <c:pt idx="2">
                  <c:v>5-10 years Pay Back</c:v>
                </c:pt>
              </c:strCache>
            </c:strRef>
          </c:cat>
          <c:val>
            <c:numRef>
              <c:f>Pivots!$B$24:$B$27</c:f>
              <c:numCache>
                <c:formatCode>General</c:formatCode>
                <c:ptCount val="3"/>
                <c:pt idx="0">
                  <c:v>137</c:v>
                </c:pt>
                <c:pt idx="1">
                  <c:v>212</c:v>
                </c:pt>
                <c:pt idx="2">
                  <c:v>75</c:v>
                </c:pt>
              </c:numCache>
            </c:numRef>
          </c:val>
          <c:extLst>
            <c:ext xmlns:c16="http://schemas.microsoft.com/office/drawing/2014/chart" uri="{C3380CC4-5D6E-409C-BE32-E72D297353CC}">
              <c16:uniqueId val="{00000000-70F9-9A41-9DA0-5A92AE3F8131}"/>
            </c:ext>
          </c:extLst>
        </c:ser>
        <c:ser>
          <c:idx val="1"/>
          <c:order val="1"/>
          <c:tx>
            <c:strRef>
              <c:f>Pivots!$C$23</c:f>
              <c:strCache>
                <c:ptCount val="1"/>
                <c:pt idx="0">
                  <c:v>Average of Capex</c:v>
                </c:pt>
              </c:strCache>
            </c:strRef>
          </c:tx>
          <c:spPr>
            <a:solidFill>
              <a:srgbClr val="052149"/>
            </a:solidFill>
            <a:ln>
              <a:noFill/>
            </a:ln>
            <a:effectLst/>
          </c:spPr>
          <c:invertIfNegative val="0"/>
          <c:cat>
            <c:strRef>
              <c:f>Pivots!$A$24:$A$27</c:f>
              <c:strCache>
                <c:ptCount val="3"/>
                <c:pt idx="0">
                  <c:v>1-5 years Pay Back</c:v>
                </c:pt>
                <c:pt idx="1">
                  <c:v>10+ years Pay Back</c:v>
                </c:pt>
                <c:pt idx="2">
                  <c:v>5-10 years Pay Back</c:v>
                </c:pt>
              </c:strCache>
            </c:strRef>
          </c:cat>
          <c:val>
            <c:numRef>
              <c:f>Pivots!$C$24:$C$27</c:f>
              <c:numCache>
                <c:formatCode>General</c:formatCode>
                <c:ptCount val="3"/>
                <c:pt idx="0">
                  <c:v>74251.141627906982</c:v>
                </c:pt>
                <c:pt idx="1">
                  <c:v>78400.671044776158</c:v>
                </c:pt>
                <c:pt idx="2">
                  <c:v>65241.599571428582</c:v>
                </c:pt>
              </c:numCache>
            </c:numRef>
          </c:val>
          <c:extLst>
            <c:ext xmlns:c16="http://schemas.microsoft.com/office/drawing/2014/chart" uri="{C3380CC4-5D6E-409C-BE32-E72D297353CC}">
              <c16:uniqueId val="{00000001-70F9-9A41-9DA0-5A92AE3F8131}"/>
            </c:ext>
          </c:extLst>
        </c:ser>
        <c:dLbls>
          <c:showLegendKey val="0"/>
          <c:showVal val="0"/>
          <c:showCatName val="0"/>
          <c:showSerName val="0"/>
          <c:showPercent val="0"/>
          <c:showBubbleSize val="0"/>
        </c:dLbls>
        <c:gapWidth val="219"/>
        <c:axId val="118249152"/>
        <c:axId val="118256768"/>
      </c:barChart>
      <c:lineChart>
        <c:grouping val="standard"/>
        <c:varyColors val="0"/>
        <c:ser>
          <c:idx val="2"/>
          <c:order val="2"/>
          <c:tx>
            <c:strRef>
              <c:f>Pivots!$D$23</c:f>
              <c:strCache>
                <c:ptCount val="1"/>
                <c:pt idx="0">
                  <c:v>Average of Net_Annual_Income</c:v>
                </c:pt>
              </c:strCache>
            </c:strRef>
          </c:tx>
          <c:spPr>
            <a:ln w="28575" cap="rnd">
              <a:solidFill>
                <a:srgbClr val="0096C7"/>
              </a:solidFill>
              <a:round/>
            </a:ln>
            <a:effectLst/>
          </c:spPr>
          <c:marker>
            <c:symbol val="none"/>
          </c:marker>
          <c:cat>
            <c:strRef>
              <c:f>Pivots!$A$24:$A$27</c:f>
              <c:strCache>
                <c:ptCount val="3"/>
                <c:pt idx="0">
                  <c:v>1-5 years Pay Back</c:v>
                </c:pt>
                <c:pt idx="1">
                  <c:v>10+ years Pay Back</c:v>
                </c:pt>
                <c:pt idx="2">
                  <c:v>5-10 years Pay Back</c:v>
                </c:pt>
              </c:strCache>
            </c:strRef>
          </c:cat>
          <c:val>
            <c:numRef>
              <c:f>Pivots!$D$24:$D$27</c:f>
              <c:numCache>
                <c:formatCode>General</c:formatCode>
                <c:ptCount val="3"/>
                <c:pt idx="0">
                  <c:v>8136.3057324840765</c:v>
                </c:pt>
                <c:pt idx="1">
                  <c:v>7219.3548387096771</c:v>
                </c:pt>
                <c:pt idx="2">
                  <c:v>7092.6315789473683</c:v>
                </c:pt>
              </c:numCache>
            </c:numRef>
          </c:val>
          <c:smooth val="0"/>
          <c:extLst>
            <c:ext xmlns:c16="http://schemas.microsoft.com/office/drawing/2014/chart" uri="{C3380CC4-5D6E-409C-BE32-E72D297353CC}">
              <c16:uniqueId val="{00000002-70F9-9A41-9DA0-5A92AE3F8131}"/>
            </c:ext>
          </c:extLst>
        </c:ser>
        <c:dLbls>
          <c:showLegendKey val="0"/>
          <c:showVal val="0"/>
          <c:showCatName val="0"/>
          <c:showSerName val="0"/>
          <c:showPercent val="0"/>
          <c:showBubbleSize val="0"/>
        </c:dLbls>
        <c:marker val="1"/>
        <c:smooth val="0"/>
        <c:axId val="118249152"/>
        <c:axId val="118256768"/>
      </c:lineChart>
      <c:catAx>
        <c:axId val="11824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6768"/>
        <c:crosses val="autoZero"/>
        <c:auto val="1"/>
        <c:lblAlgn val="ctr"/>
        <c:lblOffset val="100"/>
        <c:noMultiLvlLbl val="0"/>
      </c:catAx>
      <c:valAx>
        <c:axId val="11825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915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Profile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Pivots!$B$30:$B$31</c:f>
              <c:strCache>
                <c:ptCount val="1"/>
                <c:pt idx="0">
                  <c:v>High Lease Up Potential</c:v>
                </c:pt>
              </c:strCache>
            </c:strRef>
          </c:tx>
          <c:spPr>
            <a:solidFill>
              <a:srgbClr val="052149"/>
            </a:solidFill>
            <a:ln>
              <a:noFill/>
            </a:ln>
            <a:effectLst/>
          </c:spPr>
          <c:invertIfNegative val="0"/>
          <c:cat>
            <c:strRef>
              <c:f>Pivots!$A$32:$A$34</c:f>
              <c:strCache>
                <c:ptCount val="2"/>
                <c:pt idx="0">
                  <c:v>2015-2019</c:v>
                </c:pt>
                <c:pt idx="1">
                  <c:v>2020-2025</c:v>
                </c:pt>
              </c:strCache>
            </c:strRef>
          </c:cat>
          <c:val>
            <c:numRef>
              <c:f>Pivots!$B$32:$B$34</c:f>
              <c:numCache>
                <c:formatCode>General</c:formatCode>
                <c:ptCount val="2"/>
                <c:pt idx="0">
                  <c:v>21338</c:v>
                </c:pt>
                <c:pt idx="1">
                  <c:v>52904</c:v>
                </c:pt>
              </c:numCache>
            </c:numRef>
          </c:val>
          <c:extLst>
            <c:ext xmlns:c16="http://schemas.microsoft.com/office/drawing/2014/chart" uri="{C3380CC4-5D6E-409C-BE32-E72D297353CC}">
              <c16:uniqueId val="{00000000-1035-C441-8EB6-ACE9BF0B6972}"/>
            </c:ext>
          </c:extLst>
        </c:ser>
        <c:ser>
          <c:idx val="1"/>
          <c:order val="1"/>
          <c:tx>
            <c:strRef>
              <c:f>Pivots!$C$30:$C$31</c:f>
              <c:strCache>
                <c:ptCount val="1"/>
                <c:pt idx="0">
                  <c:v>Low Lease Up Potential</c:v>
                </c:pt>
              </c:strCache>
            </c:strRef>
          </c:tx>
          <c:spPr>
            <a:solidFill>
              <a:srgbClr val="84C559"/>
            </a:solidFill>
            <a:ln>
              <a:noFill/>
            </a:ln>
            <a:effectLst/>
          </c:spPr>
          <c:invertIfNegative val="0"/>
          <c:cat>
            <c:strRef>
              <c:f>Pivots!$A$32:$A$34</c:f>
              <c:strCache>
                <c:ptCount val="2"/>
                <c:pt idx="0">
                  <c:v>2015-2019</c:v>
                </c:pt>
                <c:pt idx="1">
                  <c:v>2020-2025</c:v>
                </c:pt>
              </c:strCache>
            </c:strRef>
          </c:cat>
          <c:val>
            <c:numRef>
              <c:f>Pivots!$C$32:$C$34</c:f>
              <c:numCache>
                <c:formatCode>General</c:formatCode>
                <c:ptCount val="2"/>
                <c:pt idx="0">
                  <c:v>7063</c:v>
                </c:pt>
                <c:pt idx="1">
                  <c:v>30051</c:v>
                </c:pt>
              </c:numCache>
            </c:numRef>
          </c:val>
          <c:extLst>
            <c:ext xmlns:c16="http://schemas.microsoft.com/office/drawing/2014/chart" uri="{C3380CC4-5D6E-409C-BE32-E72D297353CC}">
              <c16:uniqueId val="{00000003-0889-6840-8FC5-B602C82DF236}"/>
            </c:ext>
          </c:extLst>
        </c:ser>
        <c:dLbls>
          <c:showLegendKey val="0"/>
          <c:showVal val="0"/>
          <c:showCatName val="0"/>
          <c:showSerName val="0"/>
          <c:showPercent val="0"/>
          <c:showBubbleSize val="0"/>
        </c:dLbls>
        <c:gapWidth val="219"/>
        <c:overlap val="-27"/>
        <c:axId val="118909888"/>
        <c:axId val="118908096"/>
      </c:barChart>
      <c:catAx>
        <c:axId val="1189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8096"/>
        <c:crosses val="autoZero"/>
        <c:auto val="1"/>
        <c:lblAlgn val="ctr"/>
        <c:lblOffset val="100"/>
        <c:noMultiLvlLbl val="0"/>
      </c:catAx>
      <c:valAx>
        <c:axId val="11890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&amp; Growth</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Pivots!$B$2:$B$3</c:f>
              <c:strCache>
                <c:ptCount val="1"/>
                <c:pt idx="0">
                  <c:v>High Lease Up Potential</c:v>
                </c:pt>
              </c:strCache>
            </c:strRef>
          </c:tx>
          <c:spPr>
            <a:solidFill>
              <a:srgbClr val="002F5C"/>
            </a:solidFill>
            <a:ln>
              <a:noFill/>
            </a:ln>
            <a:effectLst/>
          </c:spPr>
          <c:invertIfNegative val="0"/>
          <c:cat>
            <c:strRef>
              <c:f>Pivots!$A$4:$A$8</c:f>
              <c:strCache>
                <c:ptCount val="4"/>
                <c:pt idx="0">
                  <c:v>Rural</c:v>
                </c:pt>
                <c:pt idx="1">
                  <c:v>Suburban</c:v>
                </c:pt>
                <c:pt idx="2">
                  <c:v>Urban</c:v>
                </c:pt>
                <c:pt idx="3">
                  <c:v>(blank)</c:v>
                </c:pt>
              </c:strCache>
            </c:strRef>
          </c:cat>
          <c:val>
            <c:numRef>
              <c:f>Pivots!$B$4:$B$8</c:f>
              <c:numCache>
                <c:formatCode>General</c:formatCode>
                <c:ptCount val="4"/>
                <c:pt idx="0">
                  <c:v>41779</c:v>
                </c:pt>
                <c:pt idx="1">
                  <c:v>26809</c:v>
                </c:pt>
                <c:pt idx="2">
                  <c:v>5654</c:v>
                </c:pt>
              </c:numCache>
            </c:numRef>
          </c:val>
          <c:extLst>
            <c:ext xmlns:c16="http://schemas.microsoft.com/office/drawing/2014/chart" uri="{C3380CC4-5D6E-409C-BE32-E72D297353CC}">
              <c16:uniqueId val="{00000000-C9AF-D34E-8FD4-3C8FFF37CC92}"/>
            </c:ext>
          </c:extLst>
        </c:ser>
        <c:ser>
          <c:idx val="1"/>
          <c:order val="1"/>
          <c:tx>
            <c:strRef>
              <c:f>Pivots!$C$2:$C$3</c:f>
              <c:strCache>
                <c:ptCount val="1"/>
                <c:pt idx="0">
                  <c:v>Low Lease Up Potential</c:v>
                </c:pt>
              </c:strCache>
            </c:strRef>
          </c:tx>
          <c:spPr>
            <a:solidFill>
              <a:schemeClr val="accent2"/>
            </a:solidFill>
            <a:ln>
              <a:noFill/>
            </a:ln>
            <a:effectLst/>
          </c:spPr>
          <c:invertIfNegative val="0"/>
          <c:cat>
            <c:strRef>
              <c:f>Pivots!$A$4:$A$8</c:f>
              <c:strCache>
                <c:ptCount val="4"/>
                <c:pt idx="0">
                  <c:v>Rural</c:v>
                </c:pt>
                <c:pt idx="1">
                  <c:v>Suburban</c:v>
                </c:pt>
                <c:pt idx="2">
                  <c:v>Urban</c:v>
                </c:pt>
                <c:pt idx="3">
                  <c:v>(blank)</c:v>
                </c:pt>
              </c:strCache>
            </c:strRef>
          </c:cat>
          <c:val>
            <c:numRef>
              <c:f>Pivots!$C$4:$C$8</c:f>
              <c:numCache>
                <c:formatCode>General</c:formatCode>
                <c:ptCount val="4"/>
                <c:pt idx="0">
                  <c:v>15294</c:v>
                </c:pt>
                <c:pt idx="1">
                  <c:v>18007</c:v>
                </c:pt>
                <c:pt idx="2">
                  <c:v>3813</c:v>
                </c:pt>
              </c:numCache>
            </c:numRef>
          </c:val>
          <c:extLst>
            <c:ext xmlns:c16="http://schemas.microsoft.com/office/drawing/2014/chart" uri="{C3380CC4-5D6E-409C-BE32-E72D297353CC}">
              <c16:uniqueId val="{00000002-7A4E-064C-A43A-F0571A2A15BD}"/>
            </c:ext>
          </c:extLst>
        </c:ser>
        <c:ser>
          <c:idx val="2"/>
          <c:order val="2"/>
          <c:tx>
            <c:strRef>
              <c:f>Pivots!$D$2:$D$3</c:f>
              <c:strCache>
                <c:ptCount val="1"/>
                <c:pt idx="0">
                  <c:v>(blank)</c:v>
                </c:pt>
              </c:strCache>
            </c:strRef>
          </c:tx>
          <c:spPr>
            <a:solidFill>
              <a:schemeClr val="accent3"/>
            </a:solidFill>
            <a:ln>
              <a:noFill/>
            </a:ln>
            <a:effectLst/>
          </c:spPr>
          <c:invertIfNegative val="0"/>
          <c:cat>
            <c:strRef>
              <c:f>Pivots!$A$4:$A$8</c:f>
              <c:strCache>
                <c:ptCount val="4"/>
                <c:pt idx="0">
                  <c:v>Rural</c:v>
                </c:pt>
                <c:pt idx="1">
                  <c:v>Suburban</c:v>
                </c:pt>
                <c:pt idx="2">
                  <c:v>Urban</c:v>
                </c:pt>
                <c:pt idx="3">
                  <c:v>(blank)</c:v>
                </c:pt>
              </c:strCache>
            </c:strRef>
          </c:cat>
          <c:val>
            <c:numRef>
              <c:f>Pivots!$D$4:$D$8</c:f>
              <c:numCache>
                <c:formatCode>General</c:formatCode>
                <c:ptCount val="4"/>
              </c:numCache>
            </c:numRef>
          </c:val>
          <c:extLst>
            <c:ext xmlns:c16="http://schemas.microsoft.com/office/drawing/2014/chart" uri="{C3380CC4-5D6E-409C-BE32-E72D297353CC}">
              <c16:uniqueId val="{00000004-7A4E-064C-A43A-F0571A2A15BD}"/>
            </c:ext>
          </c:extLst>
        </c:ser>
        <c:dLbls>
          <c:showLegendKey val="0"/>
          <c:showVal val="0"/>
          <c:showCatName val="0"/>
          <c:showSerName val="0"/>
          <c:showPercent val="0"/>
          <c:showBubbleSize val="0"/>
        </c:dLbls>
        <c:gapWidth val="219"/>
        <c:overlap val="100"/>
        <c:axId val="448397312"/>
        <c:axId val="448399104"/>
      </c:barChart>
      <c:catAx>
        <c:axId val="44839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9104"/>
        <c:crosses val="autoZero"/>
        <c:auto val="1"/>
        <c:lblAlgn val="ctr"/>
        <c:lblOffset val="100"/>
        <c:noMultiLvlLbl val="0"/>
      </c:catAx>
      <c:valAx>
        <c:axId val="448399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Structural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Pivots!$B$12:$B$13</c:f>
              <c:strCache>
                <c:ptCount val="1"/>
                <c:pt idx="0">
                  <c:v>High Lease Up Potential</c:v>
                </c:pt>
              </c:strCache>
            </c:strRef>
          </c:tx>
          <c:spPr>
            <a:solidFill>
              <a:srgbClr val="002F5C"/>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Pivots!$B$14:$B$19</c:f>
              <c:numCache>
                <c:formatCode>General</c:formatCode>
                <c:ptCount val="5"/>
                <c:pt idx="0">
                  <c:v>1952</c:v>
                </c:pt>
                <c:pt idx="1">
                  <c:v>23663</c:v>
                </c:pt>
                <c:pt idx="2">
                  <c:v>47076</c:v>
                </c:pt>
                <c:pt idx="3">
                  <c:v>703</c:v>
                </c:pt>
                <c:pt idx="4">
                  <c:v>848</c:v>
                </c:pt>
              </c:numCache>
            </c:numRef>
          </c:val>
          <c:extLst>
            <c:ext xmlns:c16="http://schemas.microsoft.com/office/drawing/2014/chart" uri="{C3380CC4-5D6E-409C-BE32-E72D297353CC}">
              <c16:uniqueId val="{00000000-F765-E749-89EB-A529098A2D84}"/>
            </c:ext>
          </c:extLst>
        </c:ser>
        <c:ser>
          <c:idx val="1"/>
          <c:order val="1"/>
          <c:tx>
            <c:strRef>
              <c:f>Pivots!$C$12:$C$13</c:f>
              <c:strCache>
                <c:ptCount val="1"/>
                <c:pt idx="0">
                  <c:v>Low Lease Up Potential</c:v>
                </c:pt>
              </c:strCache>
            </c:strRef>
          </c:tx>
          <c:spPr>
            <a:solidFill>
              <a:schemeClr val="accent2"/>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Pivots!$C$14:$C$19</c:f>
              <c:numCache>
                <c:formatCode>General</c:formatCode>
                <c:ptCount val="5"/>
                <c:pt idx="0">
                  <c:v>1103</c:v>
                </c:pt>
                <c:pt idx="1">
                  <c:v>15395</c:v>
                </c:pt>
                <c:pt idx="2">
                  <c:v>20420</c:v>
                </c:pt>
                <c:pt idx="3">
                  <c:v>196</c:v>
                </c:pt>
              </c:numCache>
            </c:numRef>
          </c:val>
          <c:extLst>
            <c:ext xmlns:c16="http://schemas.microsoft.com/office/drawing/2014/chart" uri="{C3380CC4-5D6E-409C-BE32-E72D297353CC}">
              <c16:uniqueId val="{00000002-5321-F14F-A89E-68EF1F39371D}"/>
            </c:ext>
          </c:extLst>
        </c:ser>
        <c:dLbls>
          <c:showLegendKey val="0"/>
          <c:showVal val="0"/>
          <c:showCatName val="0"/>
          <c:showSerName val="0"/>
          <c:showPercent val="0"/>
          <c:showBubbleSize val="0"/>
        </c:dLbls>
        <c:gapWidth val="219"/>
        <c:overlap val="-27"/>
        <c:axId val="115512576"/>
        <c:axId val="115515712"/>
      </c:barChart>
      <c:catAx>
        <c:axId val="1155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5712"/>
        <c:crosses val="autoZero"/>
        <c:auto val="1"/>
        <c:lblAlgn val="ctr"/>
        <c:lblOffset val="100"/>
        <c:noMultiLvlLbl val="0"/>
      </c:catAx>
      <c:valAx>
        <c:axId val="11551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a:t>
            </a:r>
            <a:r>
              <a:rPr lang="en-US" baseline="0"/>
              <a:t> Profile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Pivots!$B$23</c:f>
              <c:strCache>
                <c:ptCount val="1"/>
                <c:pt idx="0">
                  <c:v>Count of Site Number</c:v>
                </c:pt>
              </c:strCache>
            </c:strRef>
          </c:tx>
          <c:spPr>
            <a:solidFill>
              <a:srgbClr val="002F5C"/>
            </a:solidFill>
            <a:ln>
              <a:noFill/>
            </a:ln>
            <a:effectLst/>
          </c:spPr>
          <c:invertIfNegative val="0"/>
          <c:cat>
            <c:strRef>
              <c:f>Pivots!$A$24:$A$27</c:f>
              <c:strCache>
                <c:ptCount val="3"/>
                <c:pt idx="0">
                  <c:v>1-5 years Pay Back</c:v>
                </c:pt>
                <c:pt idx="1">
                  <c:v>10+ years Pay Back</c:v>
                </c:pt>
                <c:pt idx="2">
                  <c:v>5-10 years Pay Back</c:v>
                </c:pt>
              </c:strCache>
            </c:strRef>
          </c:cat>
          <c:val>
            <c:numRef>
              <c:f>Pivots!$B$24:$B$27</c:f>
              <c:numCache>
                <c:formatCode>General</c:formatCode>
                <c:ptCount val="3"/>
                <c:pt idx="0">
                  <c:v>137</c:v>
                </c:pt>
                <c:pt idx="1">
                  <c:v>212</c:v>
                </c:pt>
                <c:pt idx="2">
                  <c:v>75</c:v>
                </c:pt>
              </c:numCache>
            </c:numRef>
          </c:val>
          <c:extLst>
            <c:ext xmlns:c16="http://schemas.microsoft.com/office/drawing/2014/chart" uri="{C3380CC4-5D6E-409C-BE32-E72D297353CC}">
              <c16:uniqueId val="{00000000-5933-1F46-BF91-95AB79B788FE}"/>
            </c:ext>
          </c:extLst>
        </c:ser>
        <c:ser>
          <c:idx val="1"/>
          <c:order val="1"/>
          <c:tx>
            <c:strRef>
              <c:f>Pivots!$C$23</c:f>
              <c:strCache>
                <c:ptCount val="1"/>
                <c:pt idx="0">
                  <c:v>Average of Capex</c:v>
                </c:pt>
              </c:strCache>
            </c:strRef>
          </c:tx>
          <c:spPr>
            <a:solidFill>
              <a:srgbClr val="002F5C"/>
            </a:solidFill>
            <a:ln>
              <a:noFill/>
            </a:ln>
            <a:effectLst/>
          </c:spPr>
          <c:invertIfNegative val="0"/>
          <c:cat>
            <c:strRef>
              <c:f>Pivots!$A$24:$A$27</c:f>
              <c:strCache>
                <c:ptCount val="3"/>
                <c:pt idx="0">
                  <c:v>1-5 years Pay Back</c:v>
                </c:pt>
                <c:pt idx="1">
                  <c:v>10+ years Pay Back</c:v>
                </c:pt>
                <c:pt idx="2">
                  <c:v>5-10 years Pay Back</c:v>
                </c:pt>
              </c:strCache>
            </c:strRef>
          </c:cat>
          <c:val>
            <c:numRef>
              <c:f>Pivots!$C$24:$C$27</c:f>
              <c:numCache>
                <c:formatCode>General</c:formatCode>
                <c:ptCount val="3"/>
                <c:pt idx="0">
                  <c:v>74251.141627906982</c:v>
                </c:pt>
                <c:pt idx="1">
                  <c:v>78400.671044776158</c:v>
                </c:pt>
                <c:pt idx="2">
                  <c:v>65241.599571428582</c:v>
                </c:pt>
              </c:numCache>
            </c:numRef>
          </c:val>
          <c:extLst>
            <c:ext xmlns:c16="http://schemas.microsoft.com/office/drawing/2014/chart" uri="{C3380CC4-5D6E-409C-BE32-E72D297353CC}">
              <c16:uniqueId val="{00000001-5933-1F46-BF91-95AB79B788FE}"/>
            </c:ext>
          </c:extLst>
        </c:ser>
        <c:dLbls>
          <c:showLegendKey val="0"/>
          <c:showVal val="0"/>
          <c:showCatName val="0"/>
          <c:showSerName val="0"/>
          <c:showPercent val="0"/>
          <c:showBubbleSize val="0"/>
        </c:dLbls>
        <c:gapWidth val="219"/>
        <c:axId val="118249152"/>
        <c:axId val="118256768"/>
      </c:barChart>
      <c:lineChart>
        <c:grouping val="standard"/>
        <c:varyColors val="0"/>
        <c:ser>
          <c:idx val="2"/>
          <c:order val="2"/>
          <c:tx>
            <c:strRef>
              <c:f>Pivots!$D$23</c:f>
              <c:strCache>
                <c:ptCount val="1"/>
                <c:pt idx="0">
                  <c:v>Average of Net_Annual_Income</c:v>
                </c:pt>
              </c:strCache>
            </c:strRef>
          </c:tx>
          <c:spPr>
            <a:ln w="28575" cap="rnd">
              <a:solidFill>
                <a:srgbClr val="0096C7"/>
              </a:solidFill>
              <a:round/>
            </a:ln>
            <a:effectLst/>
          </c:spPr>
          <c:marker>
            <c:symbol val="none"/>
          </c:marker>
          <c:cat>
            <c:strRef>
              <c:f>Pivots!$A$24:$A$27</c:f>
              <c:strCache>
                <c:ptCount val="3"/>
                <c:pt idx="0">
                  <c:v>1-5 years Pay Back</c:v>
                </c:pt>
                <c:pt idx="1">
                  <c:v>10+ years Pay Back</c:v>
                </c:pt>
                <c:pt idx="2">
                  <c:v>5-10 years Pay Back</c:v>
                </c:pt>
              </c:strCache>
            </c:strRef>
          </c:cat>
          <c:val>
            <c:numRef>
              <c:f>Pivots!$D$24:$D$27</c:f>
              <c:numCache>
                <c:formatCode>General</c:formatCode>
                <c:ptCount val="3"/>
                <c:pt idx="0">
                  <c:v>8136.3057324840765</c:v>
                </c:pt>
                <c:pt idx="1">
                  <c:v>7219.3548387096771</c:v>
                </c:pt>
                <c:pt idx="2">
                  <c:v>7092.6315789473683</c:v>
                </c:pt>
              </c:numCache>
            </c:numRef>
          </c:val>
          <c:smooth val="0"/>
          <c:extLst>
            <c:ext xmlns:c16="http://schemas.microsoft.com/office/drawing/2014/chart" uri="{C3380CC4-5D6E-409C-BE32-E72D297353CC}">
              <c16:uniqueId val="{00000002-5933-1F46-BF91-95AB79B788FE}"/>
            </c:ext>
          </c:extLst>
        </c:ser>
        <c:dLbls>
          <c:showLegendKey val="0"/>
          <c:showVal val="0"/>
          <c:showCatName val="0"/>
          <c:showSerName val="0"/>
          <c:showPercent val="0"/>
          <c:showBubbleSize val="0"/>
        </c:dLbls>
        <c:marker val="1"/>
        <c:smooth val="0"/>
        <c:axId val="118249152"/>
        <c:axId val="118256768"/>
      </c:lineChart>
      <c:catAx>
        <c:axId val="11824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6768"/>
        <c:crosses val="autoZero"/>
        <c:auto val="1"/>
        <c:lblAlgn val="ctr"/>
        <c:lblOffset val="100"/>
        <c:noMultiLvlLbl val="0"/>
      </c:catAx>
      <c:valAx>
        <c:axId val="11825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915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Profile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Pivots!$B$30:$B$31</c:f>
              <c:strCache>
                <c:ptCount val="1"/>
                <c:pt idx="0">
                  <c:v>High Lease Up Potential</c:v>
                </c:pt>
              </c:strCache>
            </c:strRef>
          </c:tx>
          <c:spPr>
            <a:solidFill>
              <a:srgbClr val="002F5C"/>
            </a:solidFill>
            <a:ln>
              <a:noFill/>
            </a:ln>
            <a:effectLst/>
          </c:spPr>
          <c:invertIfNegative val="0"/>
          <c:cat>
            <c:strRef>
              <c:f>Pivots!$A$32:$A$34</c:f>
              <c:strCache>
                <c:ptCount val="2"/>
                <c:pt idx="0">
                  <c:v>2015-2019</c:v>
                </c:pt>
                <c:pt idx="1">
                  <c:v>2020-2025</c:v>
                </c:pt>
              </c:strCache>
            </c:strRef>
          </c:cat>
          <c:val>
            <c:numRef>
              <c:f>Pivots!$B$32:$B$34</c:f>
              <c:numCache>
                <c:formatCode>General</c:formatCode>
                <c:ptCount val="2"/>
                <c:pt idx="0">
                  <c:v>21338</c:v>
                </c:pt>
                <c:pt idx="1">
                  <c:v>52904</c:v>
                </c:pt>
              </c:numCache>
            </c:numRef>
          </c:val>
          <c:extLst>
            <c:ext xmlns:c16="http://schemas.microsoft.com/office/drawing/2014/chart" uri="{C3380CC4-5D6E-409C-BE32-E72D297353CC}">
              <c16:uniqueId val="{00000000-B95C-1746-AC79-B02447ECEC65}"/>
            </c:ext>
          </c:extLst>
        </c:ser>
        <c:ser>
          <c:idx val="1"/>
          <c:order val="1"/>
          <c:tx>
            <c:strRef>
              <c:f>Pivots!$C$30:$C$31</c:f>
              <c:strCache>
                <c:ptCount val="1"/>
                <c:pt idx="0">
                  <c:v>Low Lease Up Potential</c:v>
                </c:pt>
              </c:strCache>
            </c:strRef>
          </c:tx>
          <c:spPr>
            <a:solidFill>
              <a:schemeClr val="accent2"/>
            </a:solidFill>
            <a:ln>
              <a:noFill/>
            </a:ln>
            <a:effectLst/>
          </c:spPr>
          <c:invertIfNegative val="0"/>
          <c:cat>
            <c:strRef>
              <c:f>Pivots!$A$32:$A$34</c:f>
              <c:strCache>
                <c:ptCount val="2"/>
                <c:pt idx="0">
                  <c:v>2015-2019</c:v>
                </c:pt>
                <c:pt idx="1">
                  <c:v>2020-2025</c:v>
                </c:pt>
              </c:strCache>
            </c:strRef>
          </c:cat>
          <c:val>
            <c:numRef>
              <c:f>Pivots!$C$32:$C$34</c:f>
              <c:numCache>
                <c:formatCode>General</c:formatCode>
                <c:ptCount val="2"/>
                <c:pt idx="0">
                  <c:v>7063</c:v>
                </c:pt>
                <c:pt idx="1">
                  <c:v>30051</c:v>
                </c:pt>
              </c:numCache>
            </c:numRef>
          </c:val>
          <c:extLst>
            <c:ext xmlns:c16="http://schemas.microsoft.com/office/drawing/2014/chart" uri="{C3380CC4-5D6E-409C-BE32-E72D297353CC}">
              <c16:uniqueId val="{00000002-83B1-EF42-9266-B0D45308502C}"/>
            </c:ext>
          </c:extLst>
        </c:ser>
        <c:dLbls>
          <c:showLegendKey val="0"/>
          <c:showVal val="0"/>
          <c:showCatName val="0"/>
          <c:showSerName val="0"/>
          <c:showPercent val="0"/>
          <c:showBubbleSize val="0"/>
        </c:dLbls>
        <c:gapWidth val="219"/>
        <c:overlap val="-27"/>
        <c:axId val="118909888"/>
        <c:axId val="118908096"/>
      </c:barChart>
      <c:catAx>
        <c:axId val="1189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8096"/>
        <c:crosses val="autoZero"/>
        <c:auto val="1"/>
        <c:lblAlgn val="ctr"/>
        <c:lblOffset val="100"/>
        <c:noMultiLvlLbl val="0"/>
      </c:catAx>
      <c:valAx>
        <c:axId val="11890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Sample.xlsx]Pivots!PivotTable1</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Density &amp; Growth</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Pivots!$B$2:$B$3</c:f>
              <c:strCache>
                <c:ptCount val="1"/>
                <c:pt idx="0">
                  <c:v>High Lease Up Potential</c:v>
                </c:pt>
              </c:strCache>
            </c:strRef>
          </c:tx>
          <c:spPr>
            <a:solidFill>
              <a:srgbClr val="052149"/>
            </a:solidFill>
            <a:ln>
              <a:noFill/>
            </a:ln>
            <a:effectLst/>
          </c:spPr>
          <c:invertIfNegative val="0"/>
          <c:cat>
            <c:strRef>
              <c:f>Pivots!$A$4:$A$8</c:f>
              <c:strCache>
                <c:ptCount val="4"/>
                <c:pt idx="0">
                  <c:v>Rural</c:v>
                </c:pt>
                <c:pt idx="1">
                  <c:v>Suburban</c:v>
                </c:pt>
                <c:pt idx="2">
                  <c:v>Urban</c:v>
                </c:pt>
                <c:pt idx="3">
                  <c:v>(blank)</c:v>
                </c:pt>
              </c:strCache>
            </c:strRef>
          </c:cat>
          <c:val>
            <c:numRef>
              <c:f>Pivots!$B$4:$B$8</c:f>
              <c:numCache>
                <c:formatCode>General</c:formatCode>
                <c:ptCount val="4"/>
                <c:pt idx="0">
                  <c:v>41779</c:v>
                </c:pt>
                <c:pt idx="1">
                  <c:v>26809</c:v>
                </c:pt>
                <c:pt idx="2">
                  <c:v>5654</c:v>
                </c:pt>
              </c:numCache>
            </c:numRef>
          </c:val>
          <c:extLst>
            <c:ext xmlns:c16="http://schemas.microsoft.com/office/drawing/2014/chart" uri="{C3380CC4-5D6E-409C-BE32-E72D297353CC}">
              <c16:uniqueId val="{00000000-18CD-F740-8E51-BDBFA78C9EA7}"/>
            </c:ext>
          </c:extLst>
        </c:ser>
        <c:ser>
          <c:idx val="1"/>
          <c:order val="1"/>
          <c:tx>
            <c:strRef>
              <c:f>Pivots!$C$2:$C$3</c:f>
              <c:strCache>
                <c:ptCount val="1"/>
                <c:pt idx="0">
                  <c:v>Low Lease Up Potential</c:v>
                </c:pt>
              </c:strCache>
            </c:strRef>
          </c:tx>
          <c:spPr>
            <a:solidFill>
              <a:srgbClr val="84C559"/>
            </a:solidFill>
            <a:ln>
              <a:noFill/>
            </a:ln>
            <a:effectLst/>
          </c:spPr>
          <c:invertIfNegative val="0"/>
          <c:cat>
            <c:strRef>
              <c:f>Pivots!$A$4:$A$8</c:f>
              <c:strCache>
                <c:ptCount val="4"/>
                <c:pt idx="0">
                  <c:v>Rural</c:v>
                </c:pt>
                <c:pt idx="1">
                  <c:v>Suburban</c:v>
                </c:pt>
                <c:pt idx="2">
                  <c:v>Urban</c:v>
                </c:pt>
                <c:pt idx="3">
                  <c:v>(blank)</c:v>
                </c:pt>
              </c:strCache>
            </c:strRef>
          </c:cat>
          <c:val>
            <c:numRef>
              <c:f>Pivots!$C$4:$C$8</c:f>
              <c:numCache>
                <c:formatCode>General</c:formatCode>
                <c:ptCount val="4"/>
                <c:pt idx="0">
                  <c:v>15294</c:v>
                </c:pt>
                <c:pt idx="1">
                  <c:v>18007</c:v>
                </c:pt>
                <c:pt idx="2">
                  <c:v>3813</c:v>
                </c:pt>
              </c:numCache>
            </c:numRef>
          </c:val>
          <c:extLst>
            <c:ext xmlns:c16="http://schemas.microsoft.com/office/drawing/2014/chart" uri="{C3380CC4-5D6E-409C-BE32-E72D297353CC}">
              <c16:uniqueId val="{00000003-7D56-D34A-A85F-B7A2F75199C7}"/>
            </c:ext>
          </c:extLst>
        </c:ser>
        <c:ser>
          <c:idx val="2"/>
          <c:order val="2"/>
          <c:tx>
            <c:strRef>
              <c:f>Pivots!$D$2:$D$3</c:f>
              <c:strCache>
                <c:ptCount val="1"/>
                <c:pt idx="0">
                  <c:v>(blank)</c:v>
                </c:pt>
              </c:strCache>
            </c:strRef>
          </c:tx>
          <c:spPr>
            <a:solidFill>
              <a:schemeClr val="accent3"/>
            </a:solidFill>
            <a:ln>
              <a:noFill/>
            </a:ln>
            <a:effectLst/>
          </c:spPr>
          <c:invertIfNegative val="0"/>
          <c:cat>
            <c:strRef>
              <c:f>Pivots!$A$4:$A$8</c:f>
              <c:strCache>
                <c:ptCount val="4"/>
                <c:pt idx="0">
                  <c:v>Rural</c:v>
                </c:pt>
                <c:pt idx="1">
                  <c:v>Suburban</c:v>
                </c:pt>
                <c:pt idx="2">
                  <c:v>Urban</c:v>
                </c:pt>
                <c:pt idx="3">
                  <c:v>(blank)</c:v>
                </c:pt>
              </c:strCache>
            </c:strRef>
          </c:cat>
          <c:val>
            <c:numRef>
              <c:f>Pivots!$D$4:$D$8</c:f>
              <c:numCache>
                <c:formatCode>General</c:formatCode>
                <c:ptCount val="4"/>
              </c:numCache>
            </c:numRef>
          </c:val>
          <c:extLst>
            <c:ext xmlns:c16="http://schemas.microsoft.com/office/drawing/2014/chart" uri="{C3380CC4-5D6E-409C-BE32-E72D297353CC}">
              <c16:uniqueId val="{00000005-7D56-D34A-A85F-B7A2F75199C7}"/>
            </c:ext>
          </c:extLst>
        </c:ser>
        <c:dLbls>
          <c:showLegendKey val="0"/>
          <c:showVal val="0"/>
          <c:showCatName val="0"/>
          <c:showSerName val="0"/>
          <c:showPercent val="0"/>
          <c:showBubbleSize val="0"/>
        </c:dLbls>
        <c:gapWidth val="219"/>
        <c:overlap val="100"/>
        <c:axId val="448397312"/>
        <c:axId val="448399104"/>
      </c:barChart>
      <c:catAx>
        <c:axId val="448397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9104"/>
        <c:crosses val="autoZero"/>
        <c:auto val="1"/>
        <c:lblAlgn val="ctr"/>
        <c:lblOffset val="100"/>
        <c:noMultiLvlLbl val="0"/>
      </c:catAx>
      <c:valAx>
        <c:axId val="4483991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97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Sample.xlsx]Pivots!PivotTable2</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Structural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Pivots!$B$12:$B$13</c:f>
              <c:strCache>
                <c:ptCount val="1"/>
                <c:pt idx="0">
                  <c:v>High Lease Up Potential</c:v>
                </c:pt>
              </c:strCache>
            </c:strRef>
          </c:tx>
          <c:spPr>
            <a:solidFill>
              <a:srgbClr val="052149"/>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Pivots!$B$14:$B$19</c:f>
              <c:numCache>
                <c:formatCode>General</c:formatCode>
                <c:ptCount val="5"/>
                <c:pt idx="0">
                  <c:v>1952</c:v>
                </c:pt>
                <c:pt idx="1">
                  <c:v>23663</c:v>
                </c:pt>
                <c:pt idx="2">
                  <c:v>47076</c:v>
                </c:pt>
                <c:pt idx="3">
                  <c:v>703</c:v>
                </c:pt>
                <c:pt idx="4">
                  <c:v>848</c:v>
                </c:pt>
              </c:numCache>
            </c:numRef>
          </c:val>
          <c:extLst>
            <c:ext xmlns:c16="http://schemas.microsoft.com/office/drawing/2014/chart" uri="{C3380CC4-5D6E-409C-BE32-E72D297353CC}">
              <c16:uniqueId val="{00000000-FFDD-4840-9890-7FB313381B75}"/>
            </c:ext>
          </c:extLst>
        </c:ser>
        <c:ser>
          <c:idx val="1"/>
          <c:order val="1"/>
          <c:tx>
            <c:strRef>
              <c:f>Pivots!$C$12:$C$13</c:f>
              <c:strCache>
                <c:ptCount val="1"/>
                <c:pt idx="0">
                  <c:v>Low Lease Up Potential</c:v>
                </c:pt>
              </c:strCache>
            </c:strRef>
          </c:tx>
          <c:spPr>
            <a:solidFill>
              <a:srgbClr val="84C559"/>
            </a:solidFill>
            <a:ln>
              <a:noFill/>
            </a:ln>
            <a:effectLst/>
          </c:spPr>
          <c:invertIfNegative val="0"/>
          <c:cat>
            <c:strRef>
              <c:f>Pivots!$A$14:$A$19</c:f>
              <c:strCache>
                <c:ptCount val="5"/>
                <c:pt idx="0">
                  <c:v>Guyed Tower</c:v>
                </c:pt>
                <c:pt idx="1">
                  <c:v>Monopole</c:v>
                </c:pt>
                <c:pt idx="2">
                  <c:v>SST</c:v>
                </c:pt>
                <c:pt idx="3">
                  <c:v>Stealth - Flagpole</c:v>
                </c:pt>
                <c:pt idx="4">
                  <c:v>Stealth - Monopine</c:v>
                </c:pt>
              </c:strCache>
            </c:strRef>
          </c:cat>
          <c:val>
            <c:numRef>
              <c:f>Pivots!$C$14:$C$19</c:f>
              <c:numCache>
                <c:formatCode>General</c:formatCode>
                <c:ptCount val="5"/>
                <c:pt idx="0">
                  <c:v>1103</c:v>
                </c:pt>
                <c:pt idx="1">
                  <c:v>15395</c:v>
                </c:pt>
                <c:pt idx="2">
                  <c:v>20420</c:v>
                </c:pt>
                <c:pt idx="3">
                  <c:v>196</c:v>
                </c:pt>
              </c:numCache>
            </c:numRef>
          </c:val>
          <c:extLst>
            <c:ext xmlns:c16="http://schemas.microsoft.com/office/drawing/2014/chart" uri="{C3380CC4-5D6E-409C-BE32-E72D297353CC}">
              <c16:uniqueId val="{00000003-5040-6D48-A4E7-B2EA6D6B16B1}"/>
            </c:ext>
          </c:extLst>
        </c:ser>
        <c:dLbls>
          <c:showLegendKey val="0"/>
          <c:showVal val="0"/>
          <c:showCatName val="0"/>
          <c:showSerName val="0"/>
          <c:showPercent val="0"/>
          <c:showBubbleSize val="0"/>
        </c:dLbls>
        <c:gapWidth val="219"/>
        <c:overlap val="-27"/>
        <c:axId val="115512576"/>
        <c:axId val="115515712"/>
      </c:barChart>
      <c:catAx>
        <c:axId val="1155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515712"/>
        <c:crosses val="autoZero"/>
        <c:auto val="1"/>
        <c:lblAlgn val="ctr"/>
        <c:lblOffset val="100"/>
        <c:noMultiLvlLbl val="0"/>
      </c:catAx>
      <c:valAx>
        <c:axId val="1155157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51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rgbClr val="6494BA"/>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Financial</a:t>
            </a:r>
            <a:r>
              <a:rPr lang="en-US" baseline="0"/>
              <a:t> Profile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96C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Pivots!$B$23</c:f>
              <c:strCache>
                <c:ptCount val="1"/>
                <c:pt idx="0">
                  <c:v>Count of Site Number</c:v>
                </c:pt>
              </c:strCache>
            </c:strRef>
          </c:tx>
          <c:spPr>
            <a:solidFill>
              <a:srgbClr val="002F5C"/>
            </a:solidFill>
            <a:ln>
              <a:noFill/>
            </a:ln>
            <a:effectLst/>
          </c:spPr>
          <c:invertIfNegative val="0"/>
          <c:cat>
            <c:strRef>
              <c:f>Pivots!$A$24:$A$27</c:f>
              <c:strCache>
                <c:ptCount val="3"/>
                <c:pt idx="0">
                  <c:v>1-5 years Pay Back</c:v>
                </c:pt>
                <c:pt idx="1">
                  <c:v>10+ years Pay Back</c:v>
                </c:pt>
                <c:pt idx="2">
                  <c:v>5-10 years Pay Back</c:v>
                </c:pt>
              </c:strCache>
            </c:strRef>
          </c:cat>
          <c:val>
            <c:numRef>
              <c:f>Pivots!$B$24:$B$27</c:f>
              <c:numCache>
                <c:formatCode>General</c:formatCode>
                <c:ptCount val="3"/>
                <c:pt idx="0">
                  <c:v>137</c:v>
                </c:pt>
                <c:pt idx="1">
                  <c:v>212</c:v>
                </c:pt>
                <c:pt idx="2">
                  <c:v>75</c:v>
                </c:pt>
              </c:numCache>
            </c:numRef>
          </c:val>
          <c:extLst>
            <c:ext xmlns:c16="http://schemas.microsoft.com/office/drawing/2014/chart" uri="{C3380CC4-5D6E-409C-BE32-E72D297353CC}">
              <c16:uniqueId val="{00000000-9524-3B49-B02D-4904E5B146CD}"/>
            </c:ext>
          </c:extLst>
        </c:ser>
        <c:ser>
          <c:idx val="1"/>
          <c:order val="1"/>
          <c:tx>
            <c:strRef>
              <c:f>Pivots!$C$23</c:f>
              <c:strCache>
                <c:ptCount val="1"/>
                <c:pt idx="0">
                  <c:v>Average of Capex</c:v>
                </c:pt>
              </c:strCache>
            </c:strRef>
          </c:tx>
          <c:spPr>
            <a:solidFill>
              <a:srgbClr val="052149"/>
            </a:solidFill>
            <a:ln>
              <a:noFill/>
            </a:ln>
            <a:effectLst/>
          </c:spPr>
          <c:invertIfNegative val="0"/>
          <c:cat>
            <c:strRef>
              <c:f>Pivots!$A$24:$A$27</c:f>
              <c:strCache>
                <c:ptCount val="3"/>
                <c:pt idx="0">
                  <c:v>1-5 years Pay Back</c:v>
                </c:pt>
                <c:pt idx="1">
                  <c:v>10+ years Pay Back</c:v>
                </c:pt>
                <c:pt idx="2">
                  <c:v>5-10 years Pay Back</c:v>
                </c:pt>
              </c:strCache>
            </c:strRef>
          </c:cat>
          <c:val>
            <c:numRef>
              <c:f>Pivots!$C$24:$C$27</c:f>
              <c:numCache>
                <c:formatCode>General</c:formatCode>
                <c:ptCount val="3"/>
                <c:pt idx="0">
                  <c:v>74251.141627906982</c:v>
                </c:pt>
                <c:pt idx="1">
                  <c:v>78400.671044776158</c:v>
                </c:pt>
                <c:pt idx="2">
                  <c:v>65241.599571428582</c:v>
                </c:pt>
              </c:numCache>
            </c:numRef>
          </c:val>
          <c:extLst>
            <c:ext xmlns:c16="http://schemas.microsoft.com/office/drawing/2014/chart" uri="{C3380CC4-5D6E-409C-BE32-E72D297353CC}">
              <c16:uniqueId val="{00000001-9524-3B49-B02D-4904E5B146CD}"/>
            </c:ext>
          </c:extLst>
        </c:ser>
        <c:dLbls>
          <c:showLegendKey val="0"/>
          <c:showVal val="0"/>
          <c:showCatName val="0"/>
          <c:showSerName val="0"/>
          <c:showPercent val="0"/>
          <c:showBubbleSize val="0"/>
        </c:dLbls>
        <c:gapWidth val="219"/>
        <c:axId val="118249152"/>
        <c:axId val="118256768"/>
      </c:barChart>
      <c:lineChart>
        <c:grouping val="standard"/>
        <c:varyColors val="0"/>
        <c:ser>
          <c:idx val="2"/>
          <c:order val="2"/>
          <c:tx>
            <c:strRef>
              <c:f>Pivots!$D$23</c:f>
              <c:strCache>
                <c:ptCount val="1"/>
                <c:pt idx="0">
                  <c:v>Average of Net_Annual_Income</c:v>
                </c:pt>
              </c:strCache>
            </c:strRef>
          </c:tx>
          <c:spPr>
            <a:ln w="28575" cap="rnd">
              <a:solidFill>
                <a:srgbClr val="0096C7"/>
              </a:solidFill>
              <a:round/>
            </a:ln>
            <a:effectLst/>
          </c:spPr>
          <c:marker>
            <c:symbol val="none"/>
          </c:marker>
          <c:cat>
            <c:strRef>
              <c:f>Pivots!$A$24:$A$27</c:f>
              <c:strCache>
                <c:ptCount val="3"/>
                <c:pt idx="0">
                  <c:v>1-5 years Pay Back</c:v>
                </c:pt>
                <c:pt idx="1">
                  <c:v>10+ years Pay Back</c:v>
                </c:pt>
                <c:pt idx="2">
                  <c:v>5-10 years Pay Back</c:v>
                </c:pt>
              </c:strCache>
            </c:strRef>
          </c:cat>
          <c:val>
            <c:numRef>
              <c:f>Pivots!$D$24:$D$27</c:f>
              <c:numCache>
                <c:formatCode>General</c:formatCode>
                <c:ptCount val="3"/>
                <c:pt idx="0">
                  <c:v>8136.3057324840765</c:v>
                </c:pt>
                <c:pt idx="1">
                  <c:v>7219.3548387096771</c:v>
                </c:pt>
                <c:pt idx="2">
                  <c:v>7092.6315789473683</c:v>
                </c:pt>
              </c:numCache>
            </c:numRef>
          </c:val>
          <c:smooth val="0"/>
          <c:extLst>
            <c:ext xmlns:c16="http://schemas.microsoft.com/office/drawing/2014/chart" uri="{C3380CC4-5D6E-409C-BE32-E72D297353CC}">
              <c16:uniqueId val="{00000002-9524-3B49-B02D-4904E5B146CD}"/>
            </c:ext>
          </c:extLst>
        </c:ser>
        <c:dLbls>
          <c:showLegendKey val="0"/>
          <c:showVal val="0"/>
          <c:showCatName val="0"/>
          <c:showSerName val="0"/>
          <c:showPercent val="0"/>
          <c:showBubbleSize val="0"/>
        </c:dLbls>
        <c:marker val="1"/>
        <c:smooth val="0"/>
        <c:axId val="118249152"/>
        <c:axId val="118256768"/>
      </c:lineChart>
      <c:catAx>
        <c:axId val="11824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56768"/>
        <c:crosses val="autoZero"/>
        <c:auto val="1"/>
        <c:lblAlgn val="ctr"/>
        <c:lblOffset val="100"/>
        <c:noMultiLvlLbl val="0"/>
      </c:catAx>
      <c:valAx>
        <c:axId val="118256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9152"/>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[SB Sample.xlsx]Pivots!PivotTable4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Profile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F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214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4C5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Pivots!$B$30:$B$31</c:f>
              <c:strCache>
                <c:ptCount val="1"/>
                <c:pt idx="0">
                  <c:v>High Lease Up Potential</c:v>
                </c:pt>
              </c:strCache>
            </c:strRef>
          </c:tx>
          <c:spPr>
            <a:solidFill>
              <a:srgbClr val="052149"/>
            </a:solidFill>
            <a:ln>
              <a:noFill/>
            </a:ln>
            <a:effectLst/>
          </c:spPr>
          <c:invertIfNegative val="0"/>
          <c:cat>
            <c:strRef>
              <c:f>Pivots!$A$32:$A$34</c:f>
              <c:strCache>
                <c:ptCount val="2"/>
                <c:pt idx="0">
                  <c:v>2015-2019</c:v>
                </c:pt>
                <c:pt idx="1">
                  <c:v>2020-2025</c:v>
                </c:pt>
              </c:strCache>
            </c:strRef>
          </c:cat>
          <c:val>
            <c:numRef>
              <c:f>Pivots!$B$32:$B$34</c:f>
              <c:numCache>
                <c:formatCode>General</c:formatCode>
                <c:ptCount val="2"/>
                <c:pt idx="0">
                  <c:v>21338</c:v>
                </c:pt>
                <c:pt idx="1">
                  <c:v>52904</c:v>
                </c:pt>
              </c:numCache>
            </c:numRef>
          </c:val>
          <c:extLst>
            <c:ext xmlns:c16="http://schemas.microsoft.com/office/drawing/2014/chart" uri="{C3380CC4-5D6E-409C-BE32-E72D297353CC}">
              <c16:uniqueId val="{00000000-F0EE-D643-A15B-7F9321E5C751}"/>
            </c:ext>
          </c:extLst>
        </c:ser>
        <c:ser>
          <c:idx val="1"/>
          <c:order val="1"/>
          <c:tx>
            <c:strRef>
              <c:f>Pivots!$C$30:$C$31</c:f>
              <c:strCache>
                <c:ptCount val="1"/>
                <c:pt idx="0">
                  <c:v>Low Lease Up Potential</c:v>
                </c:pt>
              </c:strCache>
            </c:strRef>
          </c:tx>
          <c:spPr>
            <a:solidFill>
              <a:srgbClr val="84C559"/>
            </a:solidFill>
            <a:ln>
              <a:noFill/>
            </a:ln>
            <a:effectLst/>
          </c:spPr>
          <c:invertIfNegative val="0"/>
          <c:cat>
            <c:strRef>
              <c:f>Pivots!$A$32:$A$34</c:f>
              <c:strCache>
                <c:ptCount val="2"/>
                <c:pt idx="0">
                  <c:v>2015-2019</c:v>
                </c:pt>
                <c:pt idx="1">
                  <c:v>2020-2025</c:v>
                </c:pt>
              </c:strCache>
            </c:strRef>
          </c:cat>
          <c:val>
            <c:numRef>
              <c:f>Pivots!$C$32:$C$34</c:f>
              <c:numCache>
                <c:formatCode>General</c:formatCode>
                <c:ptCount val="2"/>
                <c:pt idx="0">
                  <c:v>7063</c:v>
                </c:pt>
                <c:pt idx="1">
                  <c:v>30051</c:v>
                </c:pt>
              </c:numCache>
            </c:numRef>
          </c:val>
          <c:extLst>
            <c:ext xmlns:c16="http://schemas.microsoft.com/office/drawing/2014/chart" uri="{C3380CC4-5D6E-409C-BE32-E72D297353CC}">
              <c16:uniqueId val="{00000003-2AC9-BE4D-B263-22054F61F33F}"/>
            </c:ext>
          </c:extLst>
        </c:ser>
        <c:dLbls>
          <c:showLegendKey val="0"/>
          <c:showVal val="0"/>
          <c:showCatName val="0"/>
          <c:showSerName val="0"/>
          <c:showPercent val="0"/>
          <c:showBubbleSize val="0"/>
        </c:dLbls>
        <c:gapWidth val="219"/>
        <c:overlap val="-27"/>
        <c:axId val="118909888"/>
        <c:axId val="118908096"/>
      </c:barChart>
      <c:catAx>
        <c:axId val="11890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8096"/>
        <c:crosses val="autoZero"/>
        <c:auto val="1"/>
        <c:lblAlgn val="ctr"/>
        <c:lblOffset val="100"/>
        <c:noMultiLvlLbl val="0"/>
      </c:catAx>
      <c:valAx>
        <c:axId val="118908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0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6494BA"/>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25400</xdr:rowOff>
    </xdr:from>
    <xdr:to>
      <xdr:col>15</xdr:col>
      <xdr:colOff>411892</xdr:colOff>
      <xdr:row>2</xdr:row>
      <xdr:rowOff>76200</xdr:rowOff>
    </xdr:to>
    <xdr:sp macro="" textlink="">
      <xdr:nvSpPr>
        <xdr:cNvPr id="3" name="Text Box 1">
          <a:extLst>
            <a:ext uri="{FF2B5EF4-FFF2-40B4-BE49-F238E27FC236}">
              <a16:creationId xmlns:a16="http://schemas.microsoft.com/office/drawing/2014/main" id="{F29C8000-6A8A-3541-97F8-833DF3A13D41}"/>
            </a:ext>
          </a:extLst>
        </xdr:cNvPr>
        <xdr:cNvSpPr txBox="1">
          <a:spLocks noChangeArrowheads="1"/>
        </xdr:cNvSpPr>
      </xdr:nvSpPr>
      <xdr:spPr bwMode="auto">
        <a:xfrm>
          <a:off x="0" y="25400"/>
          <a:ext cx="11968892" cy="457200"/>
        </a:xfrm>
        <a:prstGeom prst="rect">
          <a:avLst/>
        </a:prstGeom>
        <a:solidFill>
          <a:srgbClr val="052149"/>
        </a:solidFill>
        <a:ln w="9525">
          <a:solidFill>
            <a:srgbClr val="000000"/>
          </a:solidFill>
          <a:miter lim="800000"/>
          <a:headEnd/>
          <a:tailEnd/>
        </a:ln>
      </xdr:spPr>
      <xdr:txBody>
        <a:bodyPr vertOverflow="clip" wrap="square" lIns="27432" tIns="22860" rIns="0" bIns="0" anchor="t" upright="1"/>
        <a:lstStyle/>
        <a:p>
          <a:pPr algn="ctr" rtl="0">
            <a:defRPr sz="1000"/>
          </a:pPr>
          <a:r>
            <a:rPr lang="en-US" sz="1600" b="1" i="0" u="none" strike="noStrike" baseline="0">
              <a:solidFill>
                <a:schemeClr val="bg1"/>
              </a:solidFill>
              <a:latin typeface="Aptos Narrow" pitchFamily="2" charset="0"/>
            </a:rPr>
            <a:t>SAMPLE DASHBOARD - SKILL SHOWCASE INTERVIEW</a:t>
          </a:r>
          <a:br>
            <a:rPr lang="en-US" sz="1600" b="1" i="0" u="none" strike="noStrike" baseline="0">
              <a:solidFill>
                <a:schemeClr val="bg1"/>
              </a:solidFill>
              <a:latin typeface="Aptos Narrow" pitchFamily="2" charset="0"/>
            </a:rPr>
          </a:br>
          <a:r>
            <a:rPr lang="en-US" sz="1000" b="0" i="0">
              <a:solidFill>
                <a:srgbClr val="F4F7F9"/>
              </a:solidFill>
              <a:effectLst/>
              <a:latin typeface="+mn-lt"/>
              <a:ea typeface="+mn-ea"/>
              <a:cs typeface="+mn-cs"/>
            </a:rPr>
            <a:t>Q1/Q2 Portfolio Optimization &amp; Co-Location Sales Targeting"</a:t>
          </a:r>
          <a:r>
            <a:rPr lang="en-US" sz="1000" b="0" i="0" u="none" strike="noStrike">
              <a:solidFill>
                <a:srgbClr val="F4F7F9"/>
              </a:solidFill>
              <a:effectLst/>
              <a:latin typeface="+mn-lt"/>
              <a:ea typeface="+mn-ea"/>
              <a:cs typeface="+mn-cs"/>
            </a:rPr>
            <a:t>.</a:t>
          </a:r>
          <a:br>
            <a:rPr lang="en-US" sz="1600" b="1" i="0" u="none" strike="noStrike" baseline="0">
              <a:solidFill>
                <a:srgbClr val="F4F7F9"/>
              </a:solidFill>
              <a:latin typeface="Aptos Narrow" pitchFamily="2" charset="0"/>
            </a:rPr>
          </a:br>
          <a:br>
            <a:rPr lang="en-US" sz="1600" b="1" i="0" u="none" strike="noStrike" baseline="0">
              <a:solidFill>
                <a:schemeClr val="bg1"/>
              </a:solidFill>
              <a:latin typeface="Aptos Narrow" pitchFamily="2" charset="0"/>
            </a:rPr>
          </a:br>
          <a:r>
            <a:rPr lang="en-US" sz="1600" b="1" i="0" u="none" strike="noStrike" baseline="0">
              <a:solidFill>
                <a:schemeClr val="bg1"/>
              </a:solidFill>
              <a:latin typeface="Aptos Narrow" pitchFamily="2" charset="0"/>
            </a:rPr>
            <a:t>  </a:t>
          </a:r>
        </a:p>
      </xdr:txBody>
    </xdr:sp>
    <xdr:clientData/>
  </xdr:twoCellAnchor>
  <xdr:twoCellAnchor>
    <xdr:from>
      <xdr:col>1</xdr:col>
      <xdr:colOff>45770</xdr:colOff>
      <xdr:row>14</xdr:row>
      <xdr:rowOff>59237</xdr:rowOff>
    </xdr:from>
    <xdr:to>
      <xdr:col>15</xdr:col>
      <xdr:colOff>343243</xdr:colOff>
      <xdr:row>14</xdr:row>
      <xdr:rowOff>102773</xdr:rowOff>
    </xdr:to>
    <xdr:cxnSp macro="">
      <xdr:nvCxnSpPr>
        <xdr:cNvPr id="7" name="Straight Connector 6">
          <a:extLst>
            <a:ext uri="{FF2B5EF4-FFF2-40B4-BE49-F238E27FC236}">
              <a16:creationId xmlns:a16="http://schemas.microsoft.com/office/drawing/2014/main" id="{4B3E7981-A227-034E-B384-BB071AA85F90}"/>
            </a:ext>
          </a:extLst>
        </xdr:cNvPr>
        <xdr:cNvCxnSpPr/>
      </xdr:nvCxnSpPr>
      <xdr:spPr>
        <a:xfrm flipV="1">
          <a:off x="136484" y="2916737"/>
          <a:ext cx="11886223" cy="43536"/>
        </a:xfrm>
        <a:prstGeom prst="line">
          <a:avLst/>
        </a:prstGeom>
        <a:ln w="28575">
          <a:solidFill>
            <a:srgbClr val="6494B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80090</xdr:colOff>
      <xdr:row>15</xdr:row>
      <xdr:rowOff>102972</xdr:rowOff>
    </xdr:from>
    <xdr:to>
      <xdr:col>9</xdr:col>
      <xdr:colOff>279171</xdr:colOff>
      <xdr:row>25</xdr:row>
      <xdr:rowOff>151713</xdr:rowOff>
    </xdr:to>
    <xdr:graphicFrame macro="">
      <xdr:nvGraphicFramePr>
        <xdr:cNvPr id="8" name="Chart 7">
          <a:extLst>
            <a:ext uri="{FF2B5EF4-FFF2-40B4-BE49-F238E27FC236}">
              <a16:creationId xmlns:a16="http://schemas.microsoft.com/office/drawing/2014/main" id="{4D37E133-EE6F-7C4E-BF0F-8EC3F3138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709370</xdr:colOff>
      <xdr:row>15</xdr:row>
      <xdr:rowOff>102972</xdr:rowOff>
    </xdr:from>
    <xdr:to>
      <xdr:col>15</xdr:col>
      <xdr:colOff>84667</xdr:colOff>
      <xdr:row>25</xdr:row>
      <xdr:rowOff>151713</xdr:rowOff>
    </xdr:to>
    <xdr:graphicFrame macro="">
      <xdr:nvGraphicFramePr>
        <xdr:cNvPr id="9" name="Chart 8">
          <a:extLst>
            <a:ext uri="{FF2B5EF4-FFF2-40B4-BE49-F238E27FC236}">
              <a16:creationId xmlns:a16="http://schemas.microsoft.com/office/drawing/2014/main" id="{D3BA927F-F65B-FD40-9683-2CA9D4173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80090</xdr:colOff>
      <xdr:row>27</xdr:row>
      <xdr:rowOff>114415</xdr:rowOff>
    </xdr:from>
    <xdr:to>
      <xdr:col>9</xdr:col>
      <xdr:colOff>279171</xdr:colOff>
      <xdr:row>37</xdr:row>
      <xdr:rowOff>163156</xdr:rowOff>
    </xdr:to>
    <xdr:graphicFrame macro="">
      <xdr:nvGraphicFramePr>
        <xdr:cNvPr id="10" name="Chart 9">
          <a:extLst>
            <a:ext uri="{FF2B5EF4-FFF2-40B4-BE49-F238E27FC236}">
              <a16:creationId xmlns:a16="http://schemas.microsoft.com/office/drawing/2014/main" id="{C74F2E70-25FA-0047-8ACF-496AE1AD4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743694</xdr:colOff>
      <xdr:row>27</xdr:row>
      <xdr:rowOff>114415</xdr:rowOff>
    </xdr:from>
    <xdr:to>
      <xdr:col>15</xdr:col>
      <xdr:colOff>118991</xdr:colOff>
      <xdr:row>37</xdr:row>
      <xdr:rowOff>175856</xdr:rowOff>
    </xdr:to>
    <xdr:graphicFrame macro="">
      <xdr:nvGraphicFramePr>
        <xdr:cNvPr id="11" name="Chart 10">
          <a:extLst>
            <a:ext uri="{FF2B5EF4-FFF2-40B4-BE49-F238E27FC236}">
              <a16:creationId xmlns:a16="http://schemas.microsoft.com/office/drawing/2014/main" id="{195F7E0E-C4D6-5F4E-9CEB-C081C88BC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205946</xdr:colOff>
      <xdr:row>15</xdr:row>
      <xdr:rowOff>137296</xdr:rowOff>
    </xdr:from>
    <xdr:to>
      <xdr:col>3</xdr:col>
      <xdr:colOff>387178</xdr:colOff>
      <xdr:row>20</xdr:row>
      <xdr:rowOff>9267</xdr:rowOff>
    </xdr:to>
    <mc:AlternateContent xmlns:mc="http://schemas.openxmlformats.org/markup-compatibility/2006" xmlns:a14="http://schemas.microsoft.com/office/drawing/2010/main">
      <mc:Choice Requires="a14">
        <xdr:graphicFrame macro="">
          <xdr:nvGraphicFramePr>
            <xdr:cNvPr id="12" name="Lease_Up_Potential 4">
              <a:extLst>
                <a:ext uri="{FF2B5EF4-FFF2-40B4-BE49-F238E27FC236}">
                  <a16:creationId xmlns:a16="http://schemas.microsoft.com/office/drawing/2014/main" id="{3B2B08B8-6DFA-8247-BDE6-16EB043AFBC4}"/>
                </a:ext>
              </a:extLst>
            </xdr:cNvPr>
            <xdr:cNvGraphicFramePr/>
          </xdr:nvGraphicFramePr>
          <xdr:xfrm>
            <a:off x="0" y="0"/>
            <a:ext cx="0" cy="0"/>
          </xdr:xfrm>
          <a:graphic>
            <a:graphicData uri="http://schemas.microsoft.com/office/drawing/2010/slicer">
              <sle:slicer xmlns:sle="http://schemas.microsoft.com/office/drawing/2010/slicer" name="Lease_Up_Potential 4"/>
            </a:graphicData>
          </a:graphic>
        </xdr:graphicFrame>
      </mc:Choice>
      <mc:Fallback xmlns="">
        <xdr:sp macro="" textlink="">
          <xdr:nvSpPr>
            <xdr:cNvPr id="0" name=""/>
            <xdr:cNvSpPr>
              <a:spLocks noTextEdit="1"/>
            </xdr:cNvSpPr>
          </xdr:nvSpPr>
          <xdr:spPr>
            <a:xfrm>
              <a:off x="205946" y="2586582"/>
              <a:ext cx="1836768" cy="892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228828</xdr:colOff>
      <xdr:row>21</xdr:row>
      <xdr:rowOff>194495</xdr:rowOff>
    </xdr:from>
    <xdr:to>
      <xdr:col>3</xdr:col>
      <xdr:colOff>410060</xdr:colOff>
      <xdr:row>27</xdr:row>
      <xdr:rowOff>137287</xdr:rowOff>
    </xdr:to>
    <mc:AlternateContent xmlns:mc="http://schemas.openxmlformats.org/markup-compatibility/2006" xmlns:a14="http://schemas.microsoft.com/office/drawing/2010/main">
      <mc:Choice Requires="a14">
        <xdr:graphicFrame macro="">
          <xdr:nvGraphicFramePr>
            <xdr:cNvPr id="13" name="Site classification 3">
              <a:extLst>
                <a:ext uri="{FF2B5EF4-FFF2-40B4-BE49-F238E27FC236}">
                  <a16:creationId xmlns:a16="http://schemas.microsoft.com/office/drawing/2014/main" id="{53975E8A-DD5D-6A47-8D33-58AA010C019D}"/>
                </a:ext>
              </a:extLst>
            </xdr:cNvPr>
            <xdr:cNvGraphicFramePr/>
          </xdr:nvGraphicFramePr>
          <xdr:xfrm>
            <a:off x="0" y="0"/>
            <a:ext cx="0" cy="0"/>
          </xdr:xfrm>
          <a:graphic>
            <a:graphicData uri="http://schemas.microsoft.com/office/drawing/2010/slicer">
              <sle:slicer xmlns:sle="http://schemas.microsoft.com/office/drawing/2010/slicer" name="Site classification 3"/>
            </a:graphicData>
          </a:graphic>
        </xdr:graphicFrame>
      </mc:Choice>
      <mc:Fallback xmlns="">
        <xdr:sp macro="" textlink="">
          <xdr:nvSpPr>
            <xdr:cNvPr id="0" name=""/>
            <xdr:cNvSpPr>
              <a:spLocks noTextEdit="1"/>
            </xdr:cNvSpPr>
          </xdr:nvSpPr>
          <xdr:spPr>
            <a:xfrm>
              <a:off x="228828" y="3868424"/>
              <a:ext cx="1836768" cy="1167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228829</xdr:colOff>
      <xdr:row>29</xdr:row>
      <xdr:rowOff>57207</xdr:rowOff>
    </xdr:from>
    <xdr:to>
      <xdr:col>3</xdr:col>
      <xdr:colOff>410061</xdr:colOff>
      <xdr:row>37</xdr:row>
      <xdr:rowOff>125856</xdr:rowOff>
    </xdr:to>
    <mc:AlternateContent xmlns:mc="http://schemas.openxmlformats.org/markup-compatibility/2006" xmlns:a14="http://schemas.microsoft.com/office/drawing/2010/main">
      <mc:Choice Requires="a14">
        <xdr:graphicFrame macro="">
          <xdr:nvGraphicFramePr>
            <xdr:cNvPr id="14" name="State 3">
              <a:extLst>
                <a:ext uri="{FF2B5EF4-FFF2-40B4-BE49-F238E27FC236}">
                  <a16:creationId xmlns:a16="http://schemas.microsoft.com/office/drawing/2014/main" id="{0E29D398-CE33-E94E-A350-8D8E08BF1F71}"/>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228829" y="5363993"/>
              <a:ext cx="1836768" cy="1701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38</xdr:row>
      <xdr:rowOff>143178</xdr:rowOff>
    </xdr:from>
    <xdr:to>
      <xdr:col>15</xdr:col>
      <xdr:colOff>495643</xdr:colOff>
      <xdr:row>38</xdr:row>
      <xdr:rowOff>187731</xdr:rowOff>
    </xdr:to>
    <xdr:cxnSp macro="">
      <xdr:nvCxnSpPr>
        <xdr:cNvPr id="15" name="Straight Connector 14">
          <a:extLst>
            <a:ext uri="{FF2B5EF4-FFF2-40B4-BE49-F238E27FC236}">
              <a16:creationId xmlns:a16="http://schemas.microsoft.com/office/drawing/2014/main" id="{38350466-6B8D-774E-8C98-6C41AFE56A1E}"/>
            </a:ext>
          </a:extLst>
        </xdr:cNvPr>
        <xdr:cNvCxnSpPr/>
      </xdr:nvCxnSpPr>
      <xdr:spPr>
        <a:xfrm flipV="1">
          <a:off x="0" y="8307464"/>
          <a:ext cx="12084393" cy="44553"/>
        </a:xfrm>
        <a:prstGeom prst="line">
          <a:avLst/>
        </a:prstGeom>
        <a:ln w="28575">
          <a:solidFill>
            <a:srgbClr val="6494B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714373</xdr:colOff>
      <xdr:row>3</xdr:row>
      <xdr:rowOff>34021</xdr:rowOff>
    </xdr:from>
    <xdr:to>
      <xdr:col>4</xdr:col>
      <xdr:colOff>682169</xdr:colOff>
      <xdr:row>7</xdr:row>
      <xdr:rowOff>170089</xdr:rowOff>
    </xdr:to>
    <xdr:grpSp>
      <xdr:nvGrpSpPr>
        <xdr:cNvPr id="16" name="Group 15">
          <a:extLst>
            <a:ext uri="{FF2B5EF4-FFF2-40B4-BE49-F238E27FC236}">
              <a16:creationId xmlns:a16="http://schemas.microsoft.com/office/drawing/2014/main" id="{586F7541-50EE-3B48-9AAE-32AFC2AC669A}"/>
            </a:ext>
          </a:extLst>
        </xdr:cNvPr>
        <xdr:cNvGrpSpPr/>
      </xdr:nvGrpSpPr>
      <xdr:grpSpPr>
        <a:xfrm>
          <a:off x="805087" y="646342"/>
          <a:ext cx="2451100" cy="952497"/>
          <a:chOff x="1816100" y="1663700"/>
          <a:chExt cx="2451100" cy="1358900"/>
        </a:xfrm>
      </xdr:grpSpPr>
      <xdr:sp macro="" textlink="">
        <xdr:nvSpPr>
          <xdr:cNvPr id="17" name="Rounded Rectangle 16">
            <a:extLst>
              <a:ext uri="{FF2B5EF4-FFF2-40B4-BE49-F238E27FC236}">
                <a16:creationId xmlns:a16="http://schemas.microsoft.com/office/drawing/2014/main" id="{D0EC83B4-4AC0-CEB7-D309-0EC17091CC79}"/>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ounded Rectangle 18">
            <a:extLst>
              <a:ext uri="{FF2B5EF4-FFF2-40B4-BE49-F238E27FC236}">
                <a16:creationId xmlns:a16="http://schemas.microsoft.com/office/drawing/2014/main" id="{B6DC463C-3A1F-9C77-D3A0-AEBE071DC77E}"/>
              </a:ext>
            </a:extLst>
          </xdr:cNvPr>
          <xdr:cNvSpPr/>
        </xdr:nvSpPr>
        <xdr:spPr>
          <a:xfrm>
            <a:off x="1850118" y="2385258"/>
            <a:ext cx="2392589" cy="352423"/>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Aptos Narrow"/>
                <a:ea typeface="+mn-ea"/>
                <a:cs typeface="+mn-cs"/>
              </a:rPr>
              <a:t>Sites in Portfolio</a:t>
            </a:r>
          </a:p>
        </xdr:txBody>
      </xdr:sp>
      <xdr:sp macro="" textlink="Dashboard_Data!AF2">
        <xdr:nvSpPr>
          <xdr:cNvPr id="18" name="Rounded Rectangle 17">
            <a:extLst>
              <a:ext uri="{FF2B5EF4-FFF2-40B4-BE49-F238E27FC236}">
                <a16:creationId xmlns:a16="http://schemas.microsoft.com/office/drawing/2014/main" id="{2A491B60-D169-2EA7-533D-65F84AF531E0}"/>
              </a:ext>
            </a:extLst>
          </xdr:cNvPr>
          <xdr:cNvSpPr/>
        </xdr:nvSpPr>
        <xdr:spPr>
          <a:xfrm>
            <a:off x="1993900" y="1765300"/>
            <a:ext cx="1231900" cy="640890"/>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E1F79233-266D-474F-9284-C3D444C0E79E}" type="TxLink">
              <a:rPr lang="en-US" sz="24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500</a:t>
            </a:fld>
            <a:endParaRPr lang="en-US" sz="6600" b="1">
              <a:solidFill>
                <a:srgbClr val="052149"/>
              </a:solidFill>
            </a:endParaRPr>
          </a:p>
        </xdr:txBody>
      </xdr:sp>
    </xdr:grpSp>
    <xdr:clientData/>
  </xdr:twoCellAnchor>
  <xdr:twoCellAnchor>
    <xdr:from>
      <xdr:col>5</xdr:col>
      <xdr:colOff>79374</xdr:colOff>
      <xdr:row>3</xdr:row>
      <xdr:rowOff>34021</xdr:rowOff>
    </xdr:from>
    <xdr:to>
      <xdr:col>8</xdr:col>
      <xdr:colOff>47170</xdr:colOff>
      <xdr:row>7</xdr:row>
      <xdr:rowOff>181429</xdr:rowOff>
    </xdr:to>
    <xdr:grpSp>
      <xdr:nvGrpSpPr>
        <xdr:cNvPr id="20" name="Group 19">
          <a:extLst>
            <a:ext uri="{FF2B5EF4-FFF2-40B4-BE49-F238E27FC236}">
              <a16:creationId xmlns:a16="http://schemas.microsoft.com/office/drawing/2014/main" id="{71D5B812-846E-A64F-BF0A-8BF9E3108574}"/>
            </a:ext>
          </a:extLst>
        </xdr:cNvPr>
        <xdr:cNvGrpSpPr/>
      </xdr:nvGrpSpPr>
      <xdr:grpSpPr>
        <a:xfrm>
          <a:off x="3481160" y="646342"/>
          <a:ext cx="2451099" cy="963837"/>
          <a:chOff x="1816100" y="1663700"/>
          <a:chExt cx="2451100" cy="1358900"/>
        </a:xfrm>
      </xdr:grpSpPr>
      <xdr:sp macro="" textlink="">
        <xdr:nvSpPr>
          <xdr:cNvPr id="21" name="Rounded Rectangle 20">
            <a:extLst>
              <a:ext uri="{FF2B5EF4-FFF2-40B4-BE49-F238E27FC236}">
                <a16:creationId xmlns:a16="http://schemas.microsoft.com/office/drawing/2014/main" id="{F80C3235-1E40-A0E2-ED16-62BCAE9D3B07}"/>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Dashboard_Data!AF7">
        <xdr:nvSpPr>
          <xdr:cNvPr id="22" name="Rounded Rectangle 21">
            <a:extLst>
              <a:ext uri="{FF2B5EF4-FFF2-40B4-BE49-F238E27FC236}">
                <a16:creationId xmlns:a16="http://schemas.microsoft.com/office/drawing/2014/main" id="{3FD4EECA-1D1A-23D5-816D-5BBC111AF325}"/>
              </a:ext>
            </a:extLst>
          </xdr:cNvPr>
          <xdr:cNvSpPr/>
        </xdr:nvSpPr>
        <xdr:spPr>
          <a:xfrm>
            <a:off x="1993900" y="1765300"/>
            <a:ext cx="1231900" cy="654901"/>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102A13CC-343B-3B42-8A26-AF1BB287A260}" type="TxLink">
              <a:rPr lang="en-US" sz="24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70.5%</a:t>
            </a:fld>
            <a:endParaRPr lang="en-US" sz="4000" b="1">
              <a:solidFill>
                <a:srgbClr val="052149"/>
              </a:solidFill>
            </a:endParaRPr>
          </a:p>
        </xdr:txBody>
      </xdr:sp>
      <xdr:sp macro="" textlink="">
        <xdr:nvSpPr>
          <xdr:cNvPr id="23" name="Rounded Rectangle 22">
            <a:extLst>
              <a:ext uri="{FF2B5EF4-FFF2-40B4-BE49-F238E27FC236}">
                <a16:creationId xmlns:a16="http://schemas.microsoft.com/office/drawing/2014/main" id="{C1CEEE87-B543-C705-E84A-C048715ECDF7}"/>
              </a:ext>
            </a:extLst>
          </xdr:cNvPr>
          <xdr:cNvSpPr/>
        </xdr:nvSpPr>
        <xdr:spPr>
          <a:xfrm>
            <a:off x="1906815" y="2372876"/>
            <a:ext cx="2290535" cy="393929"/>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mn-lt"/>
                <a:ea typeface="+mn-ea"/>
                <a:cs typeface="+mn-cs"/>
              </a:rPr>
              <a:t>High Lease-Up Potential</a:t>
            </a:r>
          </a:p>
        </xdr:txBody>
      </xdr:sp>
    </xdr:grpSp>
    <xdr:clientData/>
  </xdr:twoCellAnchor>
  <xdr:twoCellAnchor>
    <xdr:from>
      <xdr:col>8</xdr:col>
      <xdr:colOff>254452</xdr:colOff>
      <xdr:row>3</xdr:row>
      <xdr:rowOff>34021</xdr:rowOff>
    </xdr:from>
    <xdr:to>
      <xdr:col>11</xdr:col>
      <xdr:colOff>222248</xdr:colOff>
      <xdr:row>7</xdr:row>
      <xdr:rowOff>170089</xdr:rowOff>
    </xdr:to>
    <xdr:grpSp>
      <xdr:nvGrpSpPr>
        <xdr:cNvPr id="26" name="Group 25">
          <a:extLst>
            <a:ext uri="{FF2B5EF4-FFF2-40B4-BE49-F238E27FC236}">
              <a16:creationId xmlns:a16="http://schemas.microsoft.com/office/drawing/2014/main" id="{9F01E58D-B335-6644-848F-FD10811FA31B}"/>
            </a:ext>
          </a:extLst>
        </xdr:cNvPr>
        <xdr:cNvGrpSpPr/>
      </xdr:nvGrpSpPr>
      <xdr:grpSpPr>
        <a:xfrm>
          <a:off x="6139541" y="646342"/>
          <a:ext cx="2451100" cy="952497"/>
          <a:chOff x="1816100" y="1663700"/>
          <a:chExt cx="2451100" cy="1358900"/>
        </a:xfrm>
      </xdr:grpSpPr>
      <xdr:sp macro="" textlink="">
        <xdr:nvSpPr>
          <xdr:cNvPr id="27" name="Rounded Rectangle 26">
            <a:extLst>
              <a:ext uri="{FF2B5EF4-FFF2-40B4-BE49-F238E27FC236}">
                <a16:creationId xmlns:a16="http://schemas.microsoft.com/office/drawing/2014/main" id="{B65A441A-E116-97DA-6990-C329868D08FE}"/>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Dashboard_Data!AG10">
        <xdr:nvSpPr>
          <xdr:cNvPr id="28" name="Rounded Rectangle 27">
            <a:extLst>
              <a:ext uri="{FF2B5EF4-FFF2-40B4-BE49-F238E27FC236}">
                <a16:creationId xmlns:a16="http://schemas.microsoft.com/office/drawing/2014/main" id="{22446D9E-8903-BE32-507D-E06DE324CCD5}"/>
              </a:ext>
            </a:extLst>
          </xdr:cNvPr>
          <xdr:cNvSpPr/>
        </xdr:nvSpPr>
        <xdr:spPr>
          <a:xfrm>
            <a:off x="1993900" y="1765300"/>
            <a:ext cx="1231900" cy="654901"/>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D9933420-87C0-854E-B6F5-139297142F0D}" type="TxLink">
              <a:rPr lang="en-US" sz="24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50%</a:t>
            </a:fld>
            <a:endParaRPr lang="en-US" sz="6600" b="1">
              <a:solidFill>
                <a:srgbClr val="052149"/>
              </a:solidFill>
            </a:endParaRPr>
          </a:p>
        </xdr:txBody>
      </xdr:sp>
      <xdr:sp macro="" textlink="">
        <xdr:nvSpPr>
          <xdr:cNvPr id="29" name="Rounded Rectangle 28">
            <a:extLst>
              <a:ext uri="{FF2B5EF4-FFF2-40B4-BE49-F238E27FC236}">
                <a16:creationId xmlns:a16="http://schemas.microsoft.com/office/drawing/2014/main" id="{18392FD5-82B9-000D-98CF-3EC727DD005E}"/>
              </a:ext>
            </a:extLst>
          </xdr:cNvPr>
          <xdr:cNvSpPr/>
        </xdr:nvSpPr>
        <xdr:spPr>
          <a:xfrm>
            <a:off x="1906815" y="2387479"/>
            <a:ext cx="2290535" cy="408635"/>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mn-lt"/>
                <a:ea typeface="+mn-ea"/>
                <a:cs typeface="+mn-cs"/>
              </a:rPr>
              <a:t>Sites</a:t>
            </a:r>
            <a:r>
              <a:rPr lang="en-US" sz="1400" b="1" i="0" u="none" strike="noStrike" baseline="0">
                <a:solidFill>
                  <a:srgbClr val="052149"/>
                </a:solidFill>
                <a:effectLst/>
                <a:latin typeface="+mn-lt"/>
                <a:ea typeface="+mn-ea"/>
                <a:cs typeface="+mn-cs"/>
              </a:rPr>
              <a:t> with 10+ Year Payback</a:t>
            </a:r>
            <a:r>
              <a:rPr lang="en-US" sz="1400" b="1" i="0" u="none" strike="noStrike">
                <a:solidFill>
                  <a:srgbClr val="052149"/>
                </a:solidFill>
                <a:effectLst/>
                <a:latin typeface="+mn-lt"/>
                <a:ea typeface="+mn-ea"/>
                <a:cs typeface="+mn-cs"/>
              </a:rPr>
              <a:t> </a:t>
            </a:r>
          </a:p>
        </xdr:txBody>
      </xdr:sp>
    </xdr:grpSp>
    <xdr:clientData/>
  </xdr:twoCellAnchor>
  <xdr:twoCellAnchor>
    <xdr:from>
      <xdr:col>11</xdr:col>
      <xdr:colOff>463548</xdr:colOff>
      <xdr:row>3</xdr:row>
      <xdr:rowOff>34021</xdr:rowOff>
    </xdr:from>
    <xdr:to>
      <xdr:col>14</xdr:col>
      <xdr:colOff>431345</xdr:colOff>
      <xdr:row>7</xdr:row>
      <xdr:rowOff>170089</xdr:rowOff>
    </xdr:to>
    <xdr:grpSp>
      <xdr:nvGrpSpPr>
        <xdr:cNvPr id="30" name="Group 29">
          <a:extLst>
            <a:ext uri="{FF2B5EF4-FFF2-40B4-BE49-F238E27FC236}">
              <a16:creationId xmlns:a16="http://schemas.microsoft.com/office/drawing/2014/main" id="{A8FA2FEA-7B30-6748-ACCD-603052A1F3DD}"/>
            </a:ext>
          </a:extLst>
        </xdr:cNvPr>
        <xdr:cNvGrpSpPr/>
      </xdr:nvGrpSpPr>
      <xdr:grpSpPr>
        <a:xfrm>
          <a:off x="8831941" y="646342"/>
          <a:ext cx="2451100" cy="952497"/>
          <a:chOff x="1816100" y="1663700"/>
          <a:chExt cx="2451100" cy="1358900"/>
        </a:xfrm>
      </xdr:grpSpPr>
      <xdr:sp macro="" textlink="">
        <xdr:nvSpPr>
          <xdr:cNvPr id="31" name="Rounded Rectangle 30">
            <a:extLst>
              <a:ext uri="{FF2B5EF4-FFF2-40B4-BE49-F238E27FC236}">
                <a16:creationId xmlns:a16="http://schemas.microsoft.com/office/drawing/2014/main" id="{54916AC4-BB81-C965-A9E6-D808A268C145}"/>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Dashboard_Data!AF12">
        <xdr:nvSpPr>
          <xdr:cNvPr id="32" name="Rounded Rectangle 31">
            <a:extLst>
              <a:ext uri="{FF2B5EF4-FFF2-40B4-BE49-F238E27FC236}">
                <a16:creationId xmlns:a16="http://schemas.microsoft.com/office/drawing/2014/main" id="{7EACD74B-8D2A-1997-8ADA-C66C9AB01CD0}"/>
              </a:ext>
            </a:extLst>
          </xdr:cNvPr>
          <xdr:cNvSpPr/>
        </xdr:nvSpPr>
        <xdr:spPr>
          <a:xfrm>
            <a:off x="1993900" y="1765300"/>
            <a:ext cx="1231900" cy="654901"/>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AE0D873E-6D9A-4345-96F9-73AA7DDB2181}" type="TxLink">
              <a:rPr lang="en-US" sz="24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84%</a:t>
            </a:fld>
            <a:endParaRPr lang="en-US" sz="6600" b="1">
              <a:solidFill>
                <a:srgbClr val="052149"/>
              </a:solidFill>
            </a:endParaRPr>
          </a:p>
        </xdr:txBody>
      </xdr:sp>
      <xdr:sp macro="" textlink="">
        <xdr:nvSpPr>
          <xdr:cNvPr id="33" name="Rounded Rectangle 32">
            <a:extLst>
              <a:ext uri="{FF2B5EF4-FFF2-40B4-BE49-F238E27FC236}">
                <a16:creationId xmlns:a16="http://schemas.microsoft.com/office/drawing/2014/main" id="{761C0D41-DCEF-8C14-E8F1-8AA27A0AB315}"/>
              </a:ext>
            </a:extLst>
          </xdr:cNvPr>
          <xdr:cNvSpPr/>
        </xdr:nvSpPr>
        <xdr:spPr>
          <a:xfrm>
            <a:off x="1906815" y="2362948"/>
            <a:ext cx="2290535" cy="416990"/>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5AA3373A-A943-4246-A240-47BEAC62DB37}" type="TxLink">
              <a:rPr lang="en-US" sz="1300" b="1" i="0" u="none" strike="noStrike">
                <a:solidFill>
                  <a:srgbClr val="052149"/>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 </a:t>
            </a:fld>
            <a:r>
              <a:rPr lang="en-US" sz="1300" b="1" i="0" u="none" strike="noStrike">
                <a:solidFill>
                  <a:srgbClr val="052149"/>
                </a:solidFill>
                <a:effectLst/>
                <a:latin typeface="+mn-lt"/>
                <a:ea typeface="+mn-ea"/>
                <a:cs typeface="+mn-cs"/>
              </a:rPr>
              <a:t>Of 10+ yr tier is High-Potential</a:t>
            </a:r>
          </a:p>
        </xdr:txBody>
      </xdr:sp>
    </xdr:grpSp>
    <xdr:clientData/>
  </xdr:twoCellAnchor>
  <xdr:twoCellAnchor>
    <xdr:from>
      <xdr:col>1</xdr:col>
      <xdr:colOff>742043</xdr:colOff>
      <xdr:row>8</xdr:row>
      <xdr:rowOff>68037</xdr:rowOff>
    </xdr:from>
    <xdr:to>
      <xdr:col>6</xdr:col>
      <xdr:colOff>680359</xdr:colOff>
      <xdr:row>13</xdr:row>
      <xdr:rowOff>84365</xdr:rowOff>
    </xdr:to>
    <xdr:grpSp>
      <xdr:nvGrpSpPr>
        <xdr:cNvPr id="4" name="Group 3">
          <a:extLst>
            <a:ext uri="{FF2B5EF4-FFF2-40B4-BE49-F238E27FC236}">
              <a16:creationId xmlns:a16="http://schemas.microsoft.com/office/drawing/2014/main" id="{ED76096D-E7FA-DD4C-ADE5-4F9A53CD47DF}"/>
            </a:ext>
          </a:extLst>
        </xdr:cNvPr>
        <xdr:cNvGrpSpPr/>
      </xdr:nvGrpSpPr>
      <xdr:grpSpPr>
        <a:xfrm>
          <a:off x="832757" y="1700894"/>
          <a:ext cx="4077156" cy="1036864"/>
          <a:chOff x="1816100" y="1663700"/>
          <a:chExt cx="2451100" cy="1358900"/>
        </a:xfrm>
      </xdr:grpSpPr>
      <xdr:sp macro="" textlink="">
        <xdr:nvSpPr>
          <xdr:cNvPr id="5" name="Rounded Rectangle 4">
            <a:extLst>
              <a:ext uri="{FF2B5EF4-FFF2-40B4-BE49-F238E27FC236}">
                <a16:creationId xmlns:a16="http://schemas.microsoft.com/office/drawing/2014/main" id="{62037411-7D75-FA7D-3F2E-76F10EE586D5}"/>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ounded Rectangle 5">
            <a:extLst>
              <a:ext uri="{FF2B5EF4-FFF2-40B4-BE49-F238E27FC236}">
                <a16:creationId xmlns:a16="http://schemas.microsoft.com/office/drawing/2014/main" id="{3896EF37-E3BB-202E-EA92-A5CFAAAE1A73}"/>
              </a:ext>
            </a:extLst>
          </xdr:cNvPr>
          <xdr:cNvSpPr/>
        </xdr:nvSpPr>
        <xdr:spPr>
          <a:xfrm>
            <a:off x="3179422" y="1797451"/>
            <a:ext cx="1080962" cy="1099722"/>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Aptos Narrow"/>
                <a:ea typeface="+mn-ea"/>
                <a:cs typeface="+mn-cs"/>
              </a:rPr>
              <a:t>Average</a:t>
            </a:r>
            <a:r>
              <a:rPr lang="en-US" sz="1400" b="1" i="0" u="none" strike="noStrike" baseline="0">
                <a:solidFill>
                  <a:srgbClr val="052149"/>
                </a:solidFill>
                <a:effectLst/>
                <a:latin typeface="Aptos Narrow"/>
                <a:ea typeface="+mn-ea"/>
                <a:cs typeface="+mn-cs"/>
              </a:rPr>
              <a:t> CAPEX per site across all 500 sites</a:t>
            </a:r>
            <a:endParaRPr lang="en-US" sz="1400" b="1" i="0" u="none" strike="noStrike">
              <a:solidFill>
                <a:srgbClr val="052149"/>
              </a:solidFill>
              <a:effectLst/>
              <a:latin typeface="Aptos Narrow"/>
              <a:ea typeface="+mn-ea"/>
              <a:cs typeface="+mn-cs"/>
            </a:endParaRPr>
          </a:p>
        </xdr:txBody>
      </xdr:sp>
      <xdr:sp macro="" textlink="Dashboard_Data!AF8">
        <xdr:nvSpPr>
          <xdr:cNvPr id="35" name="Rounded Rectangle 34">
            <a:extLst>
              <a:ext uri="{FF2B5EF4-FFF2-40B4-BE49-F238E27FC236}">
                <a16:creationId xmlns:a16="http://schemas.microsoft.com/office/drawing/2014/main" id="{A45E826F-4CA3-FE9B-C030-8EC8BE1C44D5}"/>
              </a:ext>
            </a:extLst>
          </xdr:cNvPr>
          <xdr:cNvSpPr/>
        </xdr:nvSpPr>
        <xdr:spPr>
          <a:xfrm>
            <a:off x="1993900" y="1765301"/>
            <a:ext cx="1121238" cy="745483"/>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FC5B8E9F-A22D-C943-9A67-831CBCE5DB00}" type="TxLink">
              <a:rPr lang="en-US" sz="32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$71,472</a:t>
            </a:fld>
            <a:endParaRPr lang="en-US" sz="3200" b="1">
              <a:solidFill>
                <a:srgbClr val="052149"/>
              </a:solidFill>
            </a:endParaRPr>
          </a:p>
        </xdr:txBody>
      </xdr:sp>
    </xdr:grpSp>
    <xdr:clientData/>
  </xdr:twoCellAnchor>
  <xdr:twoCellAnchor>
    <xdr:from>
      <xdr:col>9</xdr:col>
      <xdr:colOff>520240</xdr:colOff>
      <xdr:row>8</xdr:row>
      <xdr:rowOff>61687</xdr:rowOff>
    </xdr:from>
    <xdr:to>
      <xdr:col>14</xdr:col>
      <xdr:colOff>458556</xdr:colOff>
      <xdr:row>13</xdr:row>
      <xdr:rowOff>78015</xdr:rowOff>
    </xdr:to>
    <xdr:grpSp>
      <xdr:nvGrpSpPr>
        <xdr:cNvPr id="36" name="Group 35">
          <a:extLst>
            <a:ext uri="{FF2B5EF4-FFF2-40B4-BE49-F238E27FC236}">
              <a16:creationId xmlns:a16="http://schemas.microsoft.com/office/drawing/2014/main" id="{958DCB94-7FF7-EB4D-9C4C-266B83CAD590}"/>
            </a:ext>
          </a:extLst>
        </xdr:cNvPr>
        <xdr:cNvGrpSpPr/>
      </xdr:nvGrpSpPr>
      <xdr:grpSpPr>
        <a:xfrm>
          <a:off x="7233097" y="1694544"/>
          <a:ext cx="4077155" cy="1036864"/>
          <a:chOff x="1816100" y="1663700"/>
          <a:chExt cx="2451100" cy="1358900"/>
        </a:xfrm>
      </xdr:grpSpPr>
      <xdr:sp macro="" textlink="">
        <xdr:nvSpPr>
          <xdr:cNvPr id="37" name="Rounded Rectangle 36">
            <a:extLst>
              <a:ext uri="{FF2B5EF4-FFF2-40B4-BE49-F238E27FC236}">
                <a16:creationId xmlns:a16="http://schemas.microsoft.com/office/drawing/2014/main" id="{556569CC-F8CF-00CC-9CBD-B9DFEAAC39AC}"/>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ounded Rectangle 37">
            <a:extLst>
              <a:ext uri="{FF2B5EF4-FFF2-40B4-BE49-F238E27FC236}">
                <a16:creationId xmlns:a16="http://schemas.microsoft.com/office/drawing/2014/main" id="{E535E6DB-8DDF-3C58-C508-23E877F34D94}"/>
              </a:ext>
            </a:extLst>
          </xdr:cNvPr>
          <xdr:cNvSpPr/>
        </xdr:nvSpPr>
        <xdr:spPr>
          <a:xfrm>
            <a:off x="3179422" y="1797451"/>
            <a:ext cx="1080962" cy="1099722"/>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Aptos Narrow"/>
                <a:ea typeface="+mn-ea"/>
                <a:cs typeface="+mn-cs"/>
              </a:rPr>
              <a:t>Total</a:t>
            </a:r>
            <a:r>
              <a:rPr lang="en-US" sz="1400" b="1" i="0" u="none" strike="noStrike" baseline="0">
                <a:solidFill>
                  <a:srgbClr val="052149"/>
                </a:solidFill>
                <a:effectLst/>
                <a:latin typeface="Aptos Narrow"/>
                <a:ea typeface="+mn-ea"/>
                <a:cs typeface="+mn-cs"/>
              </a:rPr>
              <a:t> Portfoliio CAPEX sum of 500 sites</a:t>
            </a:r>
            <a:endParaRPr lang="en-US" sz="1400" b="1" i="0" u="none" strike="noStrike">
              <a:solidFill>
                <a:srgbClr val="052149"/>
              </a:solidFill>
              <a:effectLst/>
              <a:latin typeface="Aptos Narrow"/>
              <a:ea typeface="+mn-ea"/>
              <a:cs typeface="+mn-cs"/>
            </a:endParaRPr>
          </a:p>
        </xdr:txBody>
      </xdr:sp>
      <xdr:sp macro="" textlink="Dashboard_Data!AF9">
        <xdr:nvSpPr>
          <xdr:cNvPr id="39" name="Rounded Rectangle 38">
            <a:extLst>
              <a:ext uri="{FF2B5EF4-FFF2-40B4-BE49-F238E27FC236}">
                <a16:creationId xmlns:a16="http://schemas.microsoft.com/office/drawing/2014/main" id="{969FA0B9-41D1-5595-AAC6-2B895E15139F}"/>
              </a:ext>
            </a:extLst>
          </xdr:cNvPr>
          <xdr:cNvSpPr/>
        </xdr:nvSpPr>
        <xdr:spPr>
          <a:xfrm>
            <a:off x="1993900" y="1765301"/>
            <a:ext cx="1121238" cy="745483"/>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4C53DADC-4051-EB46-B0B8-4E6B1C723EBA}" type="TxLink">
              <a:rPr lang="en-US" sz="32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$35,736,216</a:t>
            </a:fld>
            <a:endParaRPr lang="en-US" sz="3200" b="1">
              <a:solidFill>
                <a:srgbClr val="052149"/>
              </a:solidFill>
            </a:endParaRPr>
          </a:p>
        </xdr:txBody>
      </xdr:sp>
    </xdr:grpSp>
    <xdr:clientData/>
  </xdr:twoCellAnchor>
  <xdr:twoCellAnchor>
    <xdr:from>
      <xdr:col>6</xdr:col>
      <xdr:colOff>808713</xdr:colOff>
      <xdr:row>8</xdr:row>
      <xdr:rowOff>66676</xdr:rowOff>
    </xdr:from>
    <xdr:to>
      <xdr:col>9</xdr:col>
      <xdr:colOff>430893</xdr:colOff>
      <xdr:row>13</xdr:row>
      <xdr:rowOff>83004</xdr:rowOff>
    </xdr:to>
    <xdr:grpSp>
      <xdr:nvGrpSpPr>
        <xdr:cNvPr id="40" name="Group 39">
          <a:extLst>
            <a:ext uri="{FF2B5EF4-FFF2-40B4-BE49-F238E27FC236}">
              <a16:creationId xmlns:a16="http://schemas.microsoft.com/office/drawing/2014/main" id="{B728BF76-B59B-3641-8BBD-78519B84D808}"/>
            </a:ext>
          </a:extLst>
        </xdr:cNvPr>
        <xdr:cNvGrpSpPr/>
      </xdr:nvGrpSpPr>
      <xdr:grpSpPr>
        <a:xfrm>
          <a:off x="5038267" y="1699533"/>
          <a:ext cx="2105483" cy="1036864"/>
          <a:chOff x="1816100" y="1663700"/>
          <a:chExt cx="2451100" cy="1358900"/>
        </a:xfrm>
      </xdr:grpSpPr>
      <xdr:sp macro="" textlink="">
        <xdr:nvSpPr>
          <xdr:cNvPr id="41" name="Rounded Rectangle 40">
            <a:extLst>
              <a:ext uri="{FF2B5EF4-FFF2-40B4-BE49-F238E27FC236}">
                <a16:creationId xmlns:a16="http://schemas.microsoft.com/office/drawing/2014/main" id="{A6CBA51A-DAB8-349E-A7F0-FA2714A2C87C}"/>
              </a:ext>
            </a:extLst>
          </xdr:cNvPr>
          <xdr:cNvSpPr/>
        </xdr:nvSpPr>
        <xdr:spPr>
          <a:xfrm>
            <a:off x="1816100" y="1663700"/>
            <a:ext cx="2451100" cy="1358900"/>
          </a:xfrm>
          <a:prstGeom prst="roundRect">
            <a:avLst/>
          </a:prstGeom>
          <a:solidFill>
            <a:srgbClr val="EFF4F8"/>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ounded Rectangle 41">
            <a:extLst>
              <a:ext uri="{FF2B5EF4-FFF2-40B4-BE49-F238E27FC236}">
                <a16:creationId xmlns:a16="http://schemas.microsoft.com/office/drawing/2014/main" id="{CC5C5F9A-DB9A-4835-97D3-170ECF01ECFB}"/>
              </a:ext>
            </a:extLst>
          </xdr:cNvPr>
          <xdr:cNvSpPr/>
        </xdr:nvSpPr>
        <xdr:spPr>
          <a:xfrm>
            <a:off x="3065942" y="1797451"/>
            <a:ext cx="1194443" cy="1099722"/>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fld id="{5AA3373A-A943-4246-A240-47BEAC62DB37}" type="TxLink">
              <a:rPr lang="en-US" sz="1400" b="1" i="0" u="none" strike="noStrike">
                <a:solidFill>
                  <a:srgbClr val="052149"/>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a:t>
            </a:fld>
            <a:r>
              <a:rPr lang="en-US" sz="1400" b="1" i="0" u="none" strike="noStrike">
                <a:solidFill>
                  <a:srgbClr val="052149"/>
                </a:solidFill>
                <a:effectLst/>
                <a:latin typeface="Aptos Narrow"/>
                <a:ea typeface="+mn-ea"/>
                <a:cs typeface="+mn-cs"/>
              </a:rPr>
              <a:t>Dominant</a:t>
            </a:r>
            <a:r>
              <a:rPr lang="en-US" sz="1400" b="1" i="0" u="none" strike="noStrike" baseline="0">
                <a:solidFill>
                  <a:srgbClr val="052149"/>
                </a:solidFill>
                <a:effectLst/>
                <a:latin typeface="Aptos Narrow"/>
                <a:ea typeface="+mn-ea"/>
                <a:cs typeface="+mn-cs"/>
              </a:rPr>
              <a:t> Tower Type</a:t>
            </a:r>
            <a:endParaRPr lang="en-US" sz="1400" b="1" i="0" u="none" strike="noStrike">
              <a:solidFill>
                <a:srgbClr val="052149"/>
              </a:solidFill>
              <a:effectLst/>
              <a:latin typeface="Aptos Narrow"/>
              <a:ea typeface="+mn-ea"/>
              <a:cs typeface="+mn-cs"/>
            </a:endParaRPr>
          </a:p>
        </xdr:txBody>
      </xdr:sp>
      <xdr:sp macro="" textlink="Dashboard_Data!AF15">
        <xdr:nvSpPr>
          <xdr:cNvPr id="43" name="Rounded Rectangle 42">
            <a:extLst>
              <a:ext uri="{FF2B5EF4-FFF2-40B4-BE49-F238E27FC236}">
                <a16:creationId xmlns:a16="http://schemas.microsoft.com/office/drawing/2014/main" id="{1AAF6AD0-7085-04B2-918C-19A5E6F2E8EA}"/>
              </a:ext>
            </a:extLst>
          </xdr:cNvPr>
          <xdr:cNvSpPr/>
        </xdr:nvSpPr>
        <xdr:spPr>
          <a:xfrm>
            <a:off x="1993900" y="1765301"/>
            <a:ext cx="1121238" cy="745483"/>
          </a:xfrm>
          <a:prstGeom prst="roundRect">
            <a:avLst/>
          </a:prstGeom>
          <a:solidFill>
            <a:srgbClr val="EFF4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fld id="{16523726-A4AD-DE48-86D1-21195BB6C84B}" type="TxLink">
              <a:rPr lang="en-US" sz="3200" b="1" i="0" u="none" strike="noStrike">
                <a:solidFill>
                  <a:srgbClr val="000000"/>
                </a:solidFill>
                <a:effectLst/>
                <a:latin typeface="Aptos Narrow"/>
                <a:ea typeface="+mn-ea"/>
                <a:cs typeface="+mn-cs"/>
              </a:rPr>
              <a:pPr marL="0" marR="0" lvl="0" indent="0" algn="l" defTabSz="914400" eaLnBrk="1" fontAlgn="auto" latinLnBrk="0" hangingPunct="1">
                <a:lnSpc>
                  <a:spcPct val="100000"/>
                </a:lnSpc>
                <a:spcBef>
                  <a:spcPts val="0"/>
                </a:spcBef>
                <a:spcAft>
                  <a:spcPts val="0"/>
                </a:spcAft>
                <a:buClrTx/>
                <a:buSzTx/>
                <a:buFontTx/>
                <a:buNone/>
                <a:tabLst/>
                <a:defRPr/>
              </a:pPr>
              <a:t>SST</a:t>
            </a:fld>
            <a:endParaRPr lang="en-US" sz="3200" b="1">
              <a:solidFill>
                <a:srgbClr val="052149"/>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673100</xdr:colOff>
      <xdr:row>0</xdr:row>
      <xdr:rowOff>12700</xdr:rowOff>
    </xdr:from>
    <xdr:to>
      <xdr:col>11</xdr:col>
      <xdr:colOff>38100</xdr:colOff>
      <xdr:row>9</xdr:row>
      <xdr:rowOff>190500</xdr:rowOff>
    </xdr:to>
    <xdr:graphicFrame macro="">
      <xdr:nvGraphicFramePr>
        <xdr:cNvPr id="2" name="Chart 1">
          <a:extLst>
            <a:ext uri="{FF2B5EF4-FFF2-40B4-BE49-F238E27FC236}">
              <a16:creationId xmlns:a16="http://schemas.microsoft.com/office/drawing/2014/main" id="{117CAD1C-C0B8-7085-01C2-1406E2044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647700</xdr:colOff>
      <xdr:row>13</xdr:row>
      <xdr:rowOff>127000</xdr:rowOff>
    </xdr:from>
    <xdr:to>
      <xdr:col>11</xdr:col>
      <xdr:colOff>12700</xdr:colOff>
      <xdr:row>23</xdr:row>
      <xdr:rowOff>152400</xdr:rowOff>
    </xdr:to>
    <xdr:graphicFrame macro="">
      <xdr:nvGraphicFramePr>
        <xdr:cNvPr id="3" name="Chart 2">
          <a:extLst>
            <a:ext uri="{FF2B5EF4-FFF2-40B4-BE49-F238E27FC236}">
              <a16:creationId xmlns:a16="http://schemas.microsoft.com/office/drawing/2014/main" id="{C394675D-40AB-B9F7-C29C-203E34F3A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647700</xdr:colOff>
      <xdr:row>27</xdr:row>
      <xdr:rowOff>165100</xdr:rowOff>
    </xdr:from>
    <xdr:to>
      <xdr:col>11</xdr:col>
      <xdr:colOff>12700</xdr:colOff>
      <xdr:row>37</xdr:row>
      <xdr:rowOff>190500</xdr:rowOff>
    </xdr:to>
    <xdr:graphicFrame macro="">
      <xdr:nvGraphicFramePr>
        <xdr:cNvPr id="4" name="Chart 3">
          <a:extLst>
            <a:ext uri="{FF2B5EF4-FFF2-40B4-BE49-F238E27FC236}">
              <a16:creationId xmlns:a16="http://schemas.microsoft.com/office/drawing/2014/main" id="{8ECD579E-2845-ADE2-E807-5418F2FEC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673100</xdr:colOff>
      <xdr:row>41</xdr:row>
      <xdr:rowOff>165100</xdr:rowOff>
    </xdr:from>
    <xdr:to>
      <xdr:col>11</xdr:col>
      <xdr:colOff>38100</xdr:colOff>
      <xdr:row>52</xdr:row>
      <xdr:rowOff>50800</xdr:rowOff>
    </xdr:to>
    <xdr:graphicFrame macro="">
      <xdr:nvGraphicFramePr>
        <xdr:cNvPr id="5" name="Chart 4">
          <a:extLst>
            <a:ext uri="{FF2B5EF4-FFF2-40B4-BE49-F238E27FC236}">
              <a16:creationId xmlns:a16="http://schemas.microsoft.com/office/drawing/2014/main" id="{B6D4FEDC-F33E-F6F7-F001-427E395CC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419100</xdr:colOff>
      <xdr:row>0</xdr:row>
      <xdr:rowOff>76200</xdr:rowOff>
    </xdr:from>
    <xdr:to>
      <xdr:col>14</xdr:col>
      <xdr:colOff>596900</xdr:colOff>
      <xdr:row>4</xdr:row>
      <xdr:rowOff>114300</xdr:rowOff>
    </xdr:to>
    <mc:AlternateContent xmlns:mc="http://schemas.openxmlformats.org/markup-compatibility/2006" xmlns:a14="http://schemas.microsoft.com/office/drawing/2010/main">
      <mc:Choice Requires="a14">
        <xdr:graphicFrame macro="">
          <xdr:nvGraphicFramePr>
            <xdr:cNvPr id="6" name="Lease_Up_Potential 1">
              <a:extLst>
                <a:ext uri="{FF2B5EF4-FFF2-40B4-BE49-F238E27FC236}">
                  <a16:creationId xmlns:a16="http://schemas.microsoft.com/office/drawing/2014/main" id="{A629B662-419F-34F0-19BB-D1BC9F6F8CC9}"/>
                </a:ext>
              </a:extLst>
            </xdr:cNvPr>
            <xdr:cNvGraphicFramePr/>
          </xdr:nvGraphicFramePr>
          <xdr:xfrm>
            <a:off x="0" y="0"/>
            <a:ext cx="0" cy="0"/>
          </xdr:xfrm>
          <a:graphic>
            <a:graphicData uri="http://schemas.microsoft.com/office/drawing/2010/slicer">
              <sle:slicer xmlns:sle="http://schemas.microsoft.com/office/drawing/2010/slicer" name="Lease_Up_Potential 1"/>
            </a:graphicData>
          </a:graphic>
        </xdr:graphicFrame>
      </mc:Choice>
      <mc:Fallback xmlns="">
        <xdr:sp macro="" textlink="">
          <xdr:nvSpPr>
            <xdr:cNvPr id="0" name=""/>
            <xdr:cNvSpPr>
              <a:spLocks noTextEdit="1"/>
            </xdr:cNvSpPr>
          </xdr:nvSpPr>
          <xdr:spPr>
            <a:xfrm>
              <a:off x="12268200" y="76200"/>
              <a:ext cx="18288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393700</xdr:colOff>
      <xdr:row>7</xdr:row>
      <xdr:rowOff>114300</xdr:rowOff>
    </xdr:from>
    <xdr:to>
      <xdr:col>14</xdr:col>
      <xdr:colOff>571500</xdr:colOff>
      <xdr:row>14</xdr:row>
      <xdr:rowOff>76200</xdr:rowOff>
    </xdr:to>
    <mc:AlternateContent xmlns:mc="http://schemas.openxmlformats.org/markup-compatibility/2006" xmlns:a14="http://schemas.microsoft.com/office/drawing/2010/main">
      <mc:Choice Requires="a14">
        <xdr:graphicFrame macro="">
          <xdr:nvGraphicFramePr>
            <xdr:cNvPr id="8" name="Site classification 1">
              <a:extLst>
                <a:ext uri="{FF2B5EF4-FFF2-40B4-BE49-F238E27FC236}">
                  <a16:creationId xmlns:a16="http://schemas.microsoft.com/office/drawing/2014/main" id="{786F6FE4-9229-DB61-A2D5-4821FCB768E8}"/>
                </a:ext>
              </a:extLst>
            </xdr:cNvPr>
            <xdr:cNvGraphicFramePr/>
          </xdr:nvGraphicFramePr>
          <xdr:xfrm>
            <a:off x="0" y="0"/>
            <a:ext cx="0" cy="0"/>
          </xdr:xfrm>
          <a:graphic>
            <a:graphicData uri="http://schemas.microsoft.com/office/drawing/2010/slicer">
              <sle:slicer xmlns:sle="http://schemas.microsoft.com/office/drawing/2010/slicer" name="Site classification 1"/>
            </a:graphicData>
          </a:graphic>
        </xdr:graphicFrame>
      </mc:Choice>
      <mc:Fallback xmlns="">
        <xdr:sp macro="" textlink="">
          <xdr:nvSpPr>
            <xdr:cNvPr id="0" name=""/>
            <xdr:cNvSpPr>
              <a:spLocks noTextEdit="1"/>
            </xdr:cNvSpPr>
          </xdr:nvSpPr>
          <xdr:spPr>
            <a:xfrm>
              <a:off x="12242800" y="1587500"/>
              <a:ext cx="1828800" cy="143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317500</xdr:colOff>
      <xdr:row>15</xdr:row>
      <xdr:rowOff>139700</xdr:rowOff>
    </xdr:from>
    <xdr:to>
      <xdr:col>14</xdr:col>
      <xdr:colOff>495300</xdr:colOff>
      <xdr:row>25</xdr:row>
      <xdr:rowOff>63500</xdr:rowOff>
    </xdr:to>
    <mc:AlternateContent xmlns:mc="http://schemas.openxmlformats.org/markup-compatibility/2006" xmlns:a14="http://schemas.microsoft.com/office/drawing/2010/main">
      <mc:Choice Requires="a14">
        <xdr:graphicFrame macro="">
          <xdr:nvGraphicFramePr>
            <xdr:cNvPr id="9" name="State 1">
              <a:extLst>
                <a:ext uri="{FF2B5EF4-FFF2-40B4-BE49-F238E27FC236}">
                  <a16:creationId xmlns:a16="http://schemas.microsoft.com/office/drawing/2014/main" id="{0244FB71-50B2-67AE-D5B5-3C56C297E25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166600" y="3289300"/>
              <a:ext cx="182880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810963</xdr:colOff>
      <xdr:row>3</xdr:row>
      <xdr:rowOff>40511</xdr:rowOff>
    </xdr:from>
    <xdr:to>
      <xdr:col>3</xdr:col>
      <xdr:colOff>622180</xdr:colOff>
      <xdr:row>7</xdr:row>
      <xdr:rowOff>106757</xdr:rowOff>
    </xdr:to>
    <xdr:sp macro="" textlink="Calc!C2">
      <xdr:nvSpPr>
        <xdr:cNvPr id="10" name="Rounded Rectangle 9">
          <a:extLst>
            <a:ext uri="{FF2B5EF4-FFF2-40B4-BE49-F238E27FC236}">
              <a16:creationId xmlns:a16="http://schemas.microsoft.com/office/drawing/2014/main" id="{08962570-1A8E-2124-4C70-728A89500DEF}"/>
            </a:ext>
          </a:extLst>
        </xdr:cNvPr>
        <xdr:cNvSpPr/>
      </xdr:nvSpPr>
      <xdr:spPr>
        <a:xfrm>
          <a:off x="810963" y="658349"/>
          <a:ext cx="2282568" cy="890030"/>
        </a:xfrm>
        <a:prstGeom prst="roundRect">
          <a:avLst/>
        </a:prstGeom>
        <a:solidFill>
          <a:srgbClr val="FFFFFF"/>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EC0B92B-2531-F243-BEA3-ED83643A6FB8}" type="TxLink">
            <a:rPr lang="en-US" sz="1400" b="1" i="0" u="none" strike="noStrike">
              <a:solidFill>
                <a:srgbClr val="002F5C"/>
              </a:solidFill>
              <a:latin typeface="-webkit-standard"/>
              <a:ea typeface="+mn-ea"/>
              <a:cs typeface="+mn-cs"/>
            </a:rPr>
            <a:pPr marL="0" indent="0" algn="ctr"/>
            <a:t>TOTAL UNLEASED SITES
424</a:t>
          </a:fld>
          <a:endParaRPr lang="en-US" sz="1400" b="1" i="0" u="none" strike="noStrike">
            <a:solidFill>
              <a:srgbClr val="002F5C"/>
            </a:solidFill>
            <a:latin typeface="-webkit-standard"/>
            <a:ea typeface="+mn-ea"/>
            <a:cs typeface="+mn-cs"/>
          </a:endParaRPr>
        </a:p>
      </xdr:txBody>
    </xdr:sp>
    <xdr:clientData/>
  </xdr:twoCellAnchor>
  <xdr:twoCellAnchor>
    <xdr:from>
      <xdr:col>0</xdr:col>
      <xdr:colOff>0</xdr:colOff>
      <xdr:row>0</xdr:row>
      <xdr:rowOff>25400</xdr:rowOff>
    </xdr:from>
    <xdr:to>
      <xdr:col>14</xdr:col>
      <xdr:colOff>411892</xdr:colOff>
      <xdr:row>2</xdr:row>
      <xdr:rowOff>76200</xdr:rowOff>
    </xdr:to>
    <xdr:sp macro="" textlink="">
      <xdr:nvSpPr>
        <xdr:cNvPr id="1025" name="Text Box 1">
          <a:extLst>
            <a:ext uri="{FF2B5EF4-FFF2-40B4-BE49-F238E27FC236}">
              <a16:creationId xmlns:a16="http://schemas.microsoft.com/office/drawing/2014/main" id="{2729C0A5-ECE6-237F-82DF-272BACC894AE}"/>
            </a:ext>
          </a:extLst>
        </xdr:cNvPr>
        <xdr:cNvSpPr txBox="1">
          <a:spLocks noChangeArrowheads="1"/>
        </xdr:cNvSpPr>
      </xdr:nvSpPr>
      <xdr:spPr bwMode="auto">
        <a:xfrm>
          <a:off x="0" y="25400"/>
          <a:ext cx="11944865" cy="462692"/>
        </a:xfrm>
        <a:prstGeom prst="rect">
          <a:avLst/>
        </a:prstGeom>
        <a:solidFill>
          <a:srgbClr val="052149"/>
        </a:solidFill>
        <a:ln w="9525">
          <a:solidFill>
            <a:srgbClr val="000000"/>
          </a:solidFill>
          <a:miter lim="800000"/>
          <a:headEnd/>
          <a:tailEnd/>
        </a:ln>
      </xdr:spPr>
      <xdr:txBody>
        <a:bodyPr vertOverflow="clip" wrap="square" lIns="27432" tIns="22860" rIns="0" bIns="0" anchor="t" upright="1"/>
        <a:lstStyle/>
        <a:p>
          <a:pPr algn="ctr" rtl="0">
            <a:defRPr sz="1000"/>
          </a:pPr>
          <a:r>
            <a:rPr lang="en-US" sz="1600" b="1" i="0" u="none" strike="noStrike" baseline="0">
              <a:solidFill>
                <a:schemeClr val="bg1"/>
              </a:solidFill>
              <a:latin typeface="Aptos Narrow" pitchFamily="2" charset="0"/>
            </a:rPr>
            <a:t>Vertical Bridge  Single-Tenant Tower Portfolio Analysis</a:t>
          </a:r>
          <a:br>
            <a:rPr lang="en-US" sz="1600" b="1" i="0" u="none" strike="noStrike" baseline="0">
              <a:solidFill>
                <a:schemeClr val="bg1"/>
              </a:solidFill>
              <a:latin typeface="Aptos Narrow" pitchFamily="2" charset="0"/>
            </a:rPr>
          </a:br>
          <a:r>
            <a:rPr lang="en-US" sz="1000" b="0" i="0">
              <a:solidFill>
                <a:srgbClr val="F4F7F9"/>
              </a:solidFill>
              <a:effectLst/>
              <a:latin typeface="+mn-lt"/>
              <a:ea typeface="+mn-ea"/>
              <a:cs typeface="+mn-cs"/>
            </a:rPr>
            <a:t>Q1/Q2 Portfolio Optimization &amp; Co-Location Sales Targeting"</a:t>
          </a:r>
          <a:r>
            <a:rPr lang="en-US" sz="1000" b="0" i="0" u="none" strike="noStrike">
              <a:solidFill>
                <a:srgbClr val="F4F7F9"/>
              </a:solidFill>
              <a:effectLst/>
              <a:latin typeface="+mn-lt"/>
              <a:ea typeface="+mn-ea"/>
              <a:cs typeface="+mn-cs"/>
            </a:rPr>
            <a:t>.</a:t>
          </a:r>
          <a:br>
            <a:rPr lang="en-US" sz="1600" b="1" i="0" u="none" strike="noStrike" baseline="0">
              <a:solidFill>
                <a:srgbClr val="F4F7F9"/>
              </a:solidFill>
              <a:latin typeface="Aptos Narrow" pitchFamily="2" charset="0"/>
            </a:rPr>
          </a:br>
          <a:br>
            <a:rPr lang="en-US" sz="1600" b="1" i="0" u="none" strike="noStrike" baseline="0">
              <a:solidFill>
                <a:schemeClr val="bg1"/>
              </a:solidFill>
              <a:latin typeface="Aptos Narrow" pitchFamily="2" charset="0"/>
            </a:rPr>
          </a:br>
          <a:r>
            <a:rPr lang="en-US" sz="1600" b="1" i="0" u="none" strike="noStrike" baseline="0">
              <a:solidFill>
                <a:schemeClr val="bg1"/>
              </a:solidFill>
              <a:latin typeface="Aptos Narrow" pitchFamily="2" charset="0"/>
            </a:rPr>
            <a:t>  </a:t>
          </a:r>
        </a:p>
      </xdr:txBody>
    </xdr:sp>
    <xdr:clientData/>
  </xdr:twoCellAnchor>
  <xdr:twoCellAnchor>
    <xdr:from>
      <xdr:col>3</xdr:col>
      <xdr:colOff>810963</xdr:colOff>
      <xdr:row>3</xdr:row>
      <xdr:rowOff>40511</xdr:rowOff>
    </xdr:from>
    <xdr:to>
      <xdr:col>6</xdr:col>
      <xdr:colOff>622179</xdr:colOff>
      <xdr:row>7</xdr:row>
      <xdr:rowOff>106757</xdr:rowOff>
    </xdr:to>
    <xdr:sp macro="" textlink="Calc!C3">
      <xdr:nvSpPr>
        <xdr:cNvPr id="12" name="Rounded Rectangle 11">
          <a:extLst>
            <a:ext uri="{FF2B5EF4-FFF2-40B4-BE49-F238E27FC236}">
              <a16:creationId xmlns:a16="http://schemas.microsoft.com/office/drawing/2014/main" id="{3FB66142-4ED3-D644-BB19-0BF152B2997E}"/>
            </a:ext>
          </a:extLst>
        </xdr:cNvPr>
        <xdr:cNvSpPr/>
      </xdr:nvSpPr>
      <xdr:spPr>
        <a:xfrm>
          <a:off x="3282314" y="658349"/>
          <a:ext cx="2282568" cy="890030"/>
        </a:xfrm>
        <a:prstGeom prst="roundRect">
          <a:avLst/>
        </a:prstGeom>
        <a:solidFill>
          <a:srgbClr val="FFFFFF"/>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7E0830E-8DEA-234F-98F5-BEBB362A7427}" type="TxLink">
            <a:rPr lang="en-US" sz="1400" b="1" i="0" u="none" strike="noStrike">
              <a:solidFill>
                <a:srgbClr val="002F5C"/>
              </a:solidFill>
              <a:latin typeface="-webkit-standard"/>
            </a:rPr>
            <a:pPr algn="ctr"/>
            <a:t>HIGH POTENTIAL SITES
299</a:t>
          </a:fld>
          <a:endParaRPr lang="en-US" sz="1100" b="1">
            <a:solidFill>
              <a:srgbClr val="002F5C"/>
            </a:solidFill>
          </a:endParaRPr>
        </a:p>
      </xdr:txBody>
    </xdr:sp>
    <xdr:clientData/>
  </xdr:twoCellAnchor>
  <xdr:twoCellAnchor>
    <xdr:from>
      <xdr:col>7</xdr:col>
      <xdr:colOff>3770</xdr:colOff>
      <xdr:row>3</xdr:row>
      <xdr:rowOff>40511</xdr:rowOff>
    </xdr:from>
    <xdr:to>
      <xdr:col>9</xdr:col>
      <xdr:colOff>638770</xdr:colOff>
      <xdr:row>7</xdr:row>
      <xdr:rowOff>106757</xdr:rowOff>
    </xdr:to>
    <xdr:sp macro="" textlink="Calc!C5">
      <xdr:nvSpPr>
        <xdr:cNvPr id="13" name="Rounded Rectangle 12">
          <a:extLst>
            <a:ext uri="{FF2B5EF4-FFF2-40B4-BE49-F238E27FC236}">
              <a16:creationId xmlns:a16="http://schemas.microsoft.com/office/drawing/2014/main" id="{33CFF848-45A5-974C-BD74-17D70454711A}"/>
            </a:ext>
          </a:extLst>
        </xdr:cNvPr>
        <xdr:cNvSpPr/>
      </xdr:nvSpPr>
      <xdr:spPr>
        <a:xfrm>
          <a:off x="5770256" y="658349"/>
          <a:ext cx="2282568" cy="890030"/>
        </a:xfrm>
        <a:prstGeom prst="roundRect">
          <a:avLst/>
        </a:prstGeom>
        <a:solidFill>
          <a:srgbClr val="FFFFFF"/>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3C61A8D-A7BC-FB45-BA7E-5E52371A2D4B}" type="TxLink">
            <a:rPr lang="en-US" sz="1400" b="1" i="0" u="none" strike="noStrike">
              <a:solidFill>
                <a:srgbClr val="002F5C"/>
              </a:solidFill>
              <a:latin typeface="-webkit-standard"/>
              <a:ea typeface="+mn-ea"/>
              <a:cs typeface="+mn-cs"/>
            </a:rPr>
            <a:pPr marL="0" indent="0" algn="ctr"/>
            <a:t>HIGH POTENTIAL SHARE
70.5%</a:t>
          </a:fld>
          <a:endParaRPr lang="en-US" sz="1400" b="1" i="0" u="none" strike="noStrike">
            <a:solidFill>
              <a:srgbClr val="002F5C"/>
            </a:solidFill>
            <a:latin typeface="-webkit-standard"/>
            <a:ea typeface="+mn-ea"/>
            <a:cs typeface="+mn-cs"/>
          </a:endParaRPr>
        </a:p>
      </xdr:txBody>
    </xdr:sp>
    <xdr:clientData/>
  </xdr:twoCellAnchor>
  <xdr:twoCellAnchor>
    <xdr:from>
      <xdr:col>10</xdr:col>
      <xdr:colOff>18872</xdr:colOff>
      <xdr:row>3</xdr:row>
      <xdr:rowOff>40511</xdr:rowOff>
    </xdr:from>
    <xdr:to>
      <xdr:col>12</xdr:col>
      <xdr:colOff>653873</xdr:colOff>
      <xdr:row>7</xdr:row>
      <xdr:rowOff>106757</xdr:rowOff>
    </xdr:to>
    <xdr:sp macro="" textlink="Calc!C6">
      <xdr:nvSpPr>
        <xdr:cNvPr id="14" name="Rounded Rectangle 13">
          <a:extLst>
            <a:ext uri="{FF2B5EF4-FFF2-40B4-BE49-F238E27FC236}">
              <a16:creationId xmlns:a16="http://schemas.microsoft.com/office/drawing/2014/main" id="{E5173C86-69A5-B843-8E08-0252D2187EC1}"/>
            </a:ext>
          </a:extLst>
        </xdr:cNvPr>
        <xdr:cNvSpPr/>
      </xdr:nvSpPr>
      <xdr:spPr>
        <a:xfrm>
          <a:off x="8256710" y="658349"/>
          <a:ext cx="2282568" cy="890030"/>
        </a:xfrm>
        <a:prstGeom prst="roundRect">
          <a:avLst/>
        </a:prstGeom>
        <a:solidFill>
          <a:srgbClr val="FFFFFF"/>
        </a:solidFill>
        <a:ln>
          <a:solidFill>
            <a:srgbClr val="6494B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F873341-1434-5F45-A895-688249C423D5}" type="TxLink">
            <a:rPr lang="en-US" sz="1400" b="1" i="0" u="none" strike="noStrike">
              <a:solidFill>
                <a:srgbClr val="002F5C"/>
              </a:solidFill>
              <a:latin typeface="-webkit-standard"/>
              <a:ea typeface="+mn-ea"/>
              <a:cs typeface="+mn-cs"/>
            </a:rPr>
            <a:pPr marL="0" indent="0" algn="ctr"/>
            <a:t>TOTAL PORTFOLIO CAPEX
$35,736,216</a:t>
          </a:fld>
          <a:endParaRPr lang="en-US" sz="1400" b="1" i="0" u="none" strike="noStrike">
            <a:solidFill>
              <a:srgbClr val="002F5C"/>
            </a:solidFill>
            <a:latin typeface="-webkit-standard"/>
            <a:ea typeface="+mn-ea"/>
            <a:cs typeface="+mn-cs"/>
          </a:endParaRPr>
        </a:p>
      </xdr:txBody>
    </xdr:sp>
    <xdr:clientData/>
  </xdr:twoCellAnchor>
  <xdr:twoCellAnchor>
    <xdr:from>
      <xdr:col>0</xdr:col>
      <xdr:colOff>45770</xdr:colOff>
      <xdr:row>8</xdr:row>
      <xdr:rowOff>36556</xdr:rowOff>
    </xdr:from>
    <xdr:to>
      <xdr:col>14</xdr:col>
      <xdr:colOff>343243</xdr:colOff>
      <xdr:row>8</xdr:row>
      <xdr:rowOff>80092</xdr:rowOff>
    </xdr:to>
    <xdr:cxnSp macro="">
      <xdr:nvCxnSpPr>
        <xdr:cNvPr id="16" name="Straight Connector 15">
          <a:extLst>
            <a:ext uri="{FF2B5EF4-FFF2-40B4-BE49-F238E27FC236}">
              <a16:creationId xmlns:a16="http://schemas.microsoft.com/office/drawing/2014/main" id="{81D150B9-0588-016B-4AEA-B9B1DB3B3EF6}"/>
            </a:ext>
          </a:extLst>
        </xdr:cNvPr>
        <xdr:cNvCxnSpPr/>
      </xdr:nvCxnSpPr>
      <xdr:spPr>
        <a:xfrm flipV="1">
          <a:off x="45770" y="1684124"/>
          <a:ext cx="11830446" cy="43536"/>
        </a:xfrm>
        <a:prstGeom prst="line">
          <a:avLst/>
        </a:prstGeom>
        <a:ln w="28575">
          <a:solidFill>
            <a:srgbClr val="6494BA"/>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80090</xdr:colOff>
      <xdr:row>9</xdr:row>
      <xdr:rowOff>102972</xdr:rowOff>
    </xdr:from>
    <xdr:to>
      <xdr:col>8</xdr:col>
      <xdr:colOff>279171</xdr:colOff>
      <xdr:row>19</xdr:row>
      <xdr:rowOff>151713</xdr:rowOff>
    </xdr:to>
    <xdr:graphicFrame macro="">
      <xdr:nvGraphicFramePr>
        <xdr:cNvPr id="4" name="Chart 3">
          <a:extLst>
            <a:ext uri="{FF2B5EF4-FFF2-40B4-BE49-F238E27FC236}">
              <a16:creationId xmlns:a16="http://schemas.microsoft.com/office/drawing/2014/main" id="{BC85547A-794B-C249-8387-912EE126E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709370</xdr:colOff>
      <xdr:row>9</xdr:row>
      <xdr:rowOff>102972</xdr:rowOff>
    </xdr:from>
    <xdr:to>
      <xdr:col>14</xdr:col>
      <xdr:colOff>84667</xdr:colOff>
      <xdr:row>19</xdr:row>
      <xdr:rowOff>151713</xdr:rowOff>
    </xdr:to>
    <xdr:graphicFrame macro="">
      <xdr:nvGraphicFramePr>
        <xdr:cNvPr id="5" name="Chart 4">
          <a:extLst>
            <a:ext uri="{FF2B5EF4-FFF2-40B4-BE49-F238E27FC236}">
              <a16:creationId xmlns:a16="http://schemas.microsoft.com/office/drawing/2014/main" id="{1A5C615C-3E83-EB42-9827-0D2F843B8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80090</xdr:colOff>
      <xdr:row>21</xdr:row>
      <xdr:rowOff>114415</xdr:rowOff>
    </xdr:from>
    <xdr:to>
      <xdr:col>8</xdr:col>
      <xdr:colOff>279171</xdr:colOff>
      <xdr:row>31</xdr:row>
      <xdr:rowOff>163156</xdr:rowOff>
    </xdr:to>
    <xdr:graphicFrame macro="">
      <xdr:nvGraphicFramePr>
        <xdr:cNvPr id="6" name="Chart 5">
          <a:extLst>
            <a:ext uri="{FF2B5EF4-FFF2-40B4-BE49-F238E27FC236}">
              <a16:creationId xmlns:a16="http://schemas.microsoft.com/office/drawing/2014/main" id="{FD6299BB-763A-5246-9658-678D8B1D9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743694</xdr:colOff>
      <xdr:row>21</xdr:row>
      <xdr:rowOff>114415</xdr:rowOff>
    </xdr:from>
    <xdr:to>
      <xdr:col>14</xdr:col>
      <xdr:colOff>118991</xdr:colOff>
      <xdr:row>31</xdr:row>
      <xdr:rowOff>175856</xdr:rowOff>
    </xdr:to>
    <xdr:graphicFrame macro="">
      <xdr:nvGraphicFramePr>
        <xdr:cNvPr id="7" name="Chart 6">
          <a:extLst>
            <a:ext uri="{FF2B5EF4-FFF2-40B4-BE49-F238E27FC236}">
              <a16:creationId xmlns:a16="http://schemas.microsoft.com/office/drawing/2014/main" id="{DE5AEFC5-CF82-9C49-8427-D4AB736D6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205946</xdr:colOff>
      <xdr:row>9</xdr:row>
      <xdr:rowOff>137296</xdr:rowOff>
    </xdr:from>
    <xdr:to>
      <xdr:col>2</xdr:col>
      <xdr:colOff>387178</xdr:colOff>
      <xdr:row>14</xdr:row>
      <xdr:rowOff>9267</xdr:rowOff>
    </xdr:to>
    <mc:AlternateContent xmlns:mc="http://schemas.openxmlformats.org/markup-compatibility/2006" xmlns:a14="http://schemas.microsoft.com/office/drawing/2010/main">
      <mc:Choice Requires="a14">
        <xdr:graphicFrame macro="">
          <xdr:nvGraphicFramePr>
            <xdr:cNvPr id="8" name="Lease_Up_Potential 2">
              <a:extLst>
                <a:ext uri="{FF2B5EF4-FFF2-40B4-BE49-F238E27FC236}">
                  <a16:creationId xmlns:a16="http://schemas.microsoft.com/office/drawing/2014/main" id="{63154358-8D1D-0A40-89DE-348E612EC7DD}"/>
                </a:ext>
              </a:extLst>
            </xdr:cNvPr>
            <xdr:cNvGraphicFramePr/>
          </xdr:nvGraphicFramePr>
          <xdr:xfrm>
            <a:off x="0" y="0"/>
            <a:ext cx="0" cy="0"/>
          </xdr:xfrm>
          <a:graphic>
            <a:graphicData uri="http://schemas.microsoft.com/office/drawing/2010/slicer">
              <sle:slicer xmlns:sle="http://schemas.microsoft.com/office/drawing/2010/slicer" name="Lease_Up_Potential 2"/>
            </a:graphicData>
          </a:graphic>
        </xdr:graphicFrame>
      </mc:Choice>
      <mc:Fallback xmlns="">
        <xdr:sp macro="" textlink="">
          <xdr:nvSpPr>
            <xdr:cNvPr id="0" name=""/>
            <xdr:cNvSpPr>
              <a:spLocks noTextEdit="1"/>
            </xdr:cNvSpPr>
          </xdr:nvSpPr>
          <xdr:spPr>
            <a:xfrm>
              <a:off x="205946" y="1974260"/>
              <a:ext cx="1836768" cy="892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228828</xdr:colOff>
      <xdr:row>15</xdr:row>
      <xdr:rowOff>194495</xdr:rowOff>
    </xdr:from>
    <xdr:to>
      <xdr:col>2</xdr:col>
      <xdr:colOff>410060</xdr:colOff>
      <xdr:row>21</xdr:row>
      <xdr:rowOff>137287</xdr:rowOff>
    </xdr:to>
    <mc:AlternateContent xmlns:mc="http://schemas.openxmlformats.org/markup-compatibility/2006" xmlns:a14="http://schemas.microsoft.com/office/drawing/2010/main">
      <mc:Choice Requires="a14">
        <xdr:graphicFrame macro="">
          <xdr:nvGraphicFramePr>
            <xdr:cNvPr id="9" name="Site classification 2">
              <a:extLst>
                <a:ext uri="{FF2B5EF4-FFF2-40B4-BE49-F238E27FC236}">
                  <a16:creationId xmlns:a16="http://schemas.microsoft.com/office/drawing/2014/main" id="{BE4DBBB4-9D7D-D94C-9B8C-26533893B5FA}"/>
                </a:ext>
              </a:extLst>
            </xdr:cNvPr>
            <xdr:cNvGraphicFramePr/>
          </xdr:nvGraphicFramePr>
          <xdr:xfrm>
            <a:off x="0" y="0"/>
            <a:ext cx="0" cy="0"/>
          </xdr:xfrm>
          <a:graphic>
            <a:graphicData uri="http://schemas.microsoft.com/office/drawing/2010/slicer">
              <sle:slicer xmlns:sle="http://schemas.microsoft.com/office/drawing/2010/slicer" name="Site classification 2"/>
            </a:graphicData>
          </a:graphic>
        </xdr:graphicFrame>
      </mc:Choice>
      <mc:Fallback xmlns="">
        <xdr:sp macro="" textlink="">
          <xdr:nvSpPr>
            <xdr:cNvPr id="0" name=""/>
            <xdr:cNvSpPr>
              <a:spLocks noTextEdit="1"/>
            </xdr:cNvSpPr>
          </xdr:nvSpPr>
          <xdr:spPr>
            <a:xfrm>
              <a:off x="228828" y="3256102"/>
              <a:ext cx="1836768" cy="1167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228829</xdr:colOff>
      <xdr:row>23</xdr:row>
      <xdr:rowOff>57207</xdr:rowOff>
    </xdr:from>
    <xdr:to>
      <xdr:col>2</xdr:col>
      <xdr:colOff>410061</xdr:colOff>
      <xdr:row>31</xdr:row>
      <xdr:rowOff>125856</xdr:rowOff>
    </xdr:to>
    <mc:AlternateContent xmlns:mc="http://schemas.openxmlformats.org/markup-compatibility/2006" xmlns:a14="http://schemas.microsoft.com/office/drawing/2010/main">
      <mc:Choice Requires="a14">
        <xdr:graphicFrame macro="">
          <xdr:nvGraphicFramePr>
            <xdr:cNvPr id="11" name="State 2">
              <a:extLst>
                <a:ext uri="{FF2B5EF4-FFF2-40B4-BE49-F238E27FC236}">
                  <a16:creationId xmlns:a16="http://schemas.microsoft.com/office/drawing/2014/main" id="{4EAEBDBE-0506-E147-AAF5-380AFFCD27D6}"/>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228829" y="4751671"/>
              <a:ext cx="1836768" cy="1701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198170</xdr:colOff>
      <xdr:row>33</xdr:row>
      <xdr:rowOff>143178</xdr:rowOff>
    </xdr:from>
    <xdr:to>
      <xdr:col>14</xdr:col>
      <xdr:colOff>495643</xdr:colOff>
      <xdr:row>33</xdr:row>
      <xdr:rowOff>186714</xdr:rowOff>
    </xdr:to>
    <xdr:cxnSp macro="">
      <xdr:nvCxnSpPr>
        <xdr:cNvPr id="15" name="Straight Connector 14">
          <a:extLst>
            <a:ext uri="{FF2B5EF4-FFF2-40B4-BE49-F238E27FC236}">
              <a16:creationId xmlns:a16="http://schemas.microsoft.com/office/drawing/2014/main" id="{AF2A4A30-81C6-F84E-A807-B052B76437FD}"/>
            </a:ext>
          </a:extLst>
        </xdr:cNvPr>
        <xdr:cNvCxnSpPr/>
      </xdr:nvCxnSpPr>
      <xdr:spPr>
        <a:xfrm flipV="1">
          <a:off x="198170" y="6939394"/>
          <a:ext cx="11830446" cy="43536"/>
        </a:xfrm>
        <a:prstGeom prst="line">
          <a:avLst/>
        </a:prstGeom>
        <a:ln w="28575">
          <a:solidFill>
            <a:srgbClr val="6494BA"/>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32.500318865743" createdVersion="8" refreshedVersion="8" minRefreshableVersion="3" recordCount="501" xr:uid="{CEBC3393-3E23-BC4C-BA23-CCECB60FF0F1}">
  <cacheSource type="worksheet">
    <worksheetSource name="Master"/>
  </cacheSource>
  <cacheFields count="29">
    <cacheField name="Site Number" numFmtId="0">
      <sharedItems containsString="0" containsBlank="1" containsNumber="1" containsInteger="1" minValue="1" maxValue="500"/>
    </cacheField>
    <cacheField name="Site classification" numFmtId="0">
      <sharedItems containsBlank="1" count="4">
        <s v="Suburban"/>
        <s v="Rural"/>
        <s v="Urban"/>
        <m/>
      </sharedItems>
    </cacheField>
    <cacheField name="State" numFmtId="0">
      <sharedItems containsBlank="1" count="6">
        <s v="AZ"/>
        <s v="FL"/>
        <s v="PA"/>
        <s v="OR"/>
        <s v="TX"/>
        <m/>
      </sharedItems>
    </cacheField>
    <cacheField name="Tower Type" numFmtId="0">
      <sharedItems containsBlank="1" count="6">
        <s v="SST"/>
        <s v="Monopole"/>
        <s v="Stealth - Flagpole"/>
        <s v="Guyed Tower"/>
        <s v="Stealth - Monopine"/>
        <m/>
      </sharedItems>
    </cacheField>
    <cacheField name="Height" numFmtId="0">
      <sharedItems containsString="0" containsBlank="1" containsNumber="1" containsInteger="1" minValue="90" maxValue="245" count="33">
        <n v="185"/>
        <n v="120"/>
        <n v="210"/>
        <n v="195"/>
        <n v="165"/>
        <n v="140"/>
        <n v="215"/>
        <n v="180"/>
        <n v="240"/>
        <n v="135"/>
        <n v="170"/>
        <n v="115"/>
        <n v="205"/>
        <n v="95"/>
        <n v="90"/>
        <n v="175"/>
        <n v="110"/>
        <n v="220"/>
        <n v="145"/>
        <n v="200"/>
        <n v="100"/>
        <n v="225"/>
        <n v="190"/>
        <n v="155"/>
        <n v="150"/>
        <n v="230"/>
        <n v="105"/>
        <n v="160"/>
        <n v="245"/>
        <n v="235"/>
        <n v="130"/>
        <n v="125"/>
        <m/>
      </sharedItems>
    </cacheField>
    <cacheField name="Year Built" numFmtId="0">
      <sharedItems containsString="0" containsBlank="1" containsNumber="1" containsInteger="1" minValue="2017" maxValue="2022" count="7">
        <n v="2017"/>
        <n v="2018"/>
        <n v="2019"/>
        <n v="2020"/>
        <n v="2021"/>
        <n v="2022"/>
        <m/>
      </sharedItems>
      <fieldGroup base="5">
        <rangePr autoStart="0" autoEnd="0" startNum="2010" endNum="2025" groupInterval="5"/>
        <groupItems count="5">
          <s v="&lt;2010 or (blank)"/>
          <s v="2010-2014"/>
          <s v="2015-2019"/>
          <s v="2020-2025"/>
          <s v="&gt;2025"/>
        </groupItems>
      </fieldGroup>
    </cacheField>
    <cacheField name="Anchor Tenant Name" numFmtId="0">
      <sharedItems containsBlank="1"/>
    </cacheField>
    <cacheField name="Capex" numFmtId="0">
      <sharedItems containsBlank="1" containsMixedTypes="1" containsNumber="1" minValue="21810.25" maxValue="134545"/>
    </cacheField>
    <cacheField name="Additional_Tenant_Count" numFmtId="0">
      <sharedItems containsString="0" containsBlank="1" containsNumber="1" containsInteger="1" minValue="0" maxValue="0"/>
    </cacheField>
    <cacheField name="Stack_Rank" numFmtId="0">
      <sharedItems containsString="0" containsBlank="1" containsNumber="1" containsInteger="1" minValue="1" maxValue="424"/>
    </cacheField>
    <cacheField name="Site Number.1" numFmtId="0">
      <sharedItems containsString="0" containsBlank="1" containsNumber="1" containsInteger="1" minValue="1" maxValue="500"/>
    </cacheField>
    <cacheField name="Lease_Up_Potential" numFmtId="0">
      <sharedItems containsBlank="1" count="3">
        <s v="High Lease Up Potential"/>
        <s v="Low Lease Up Potential"/>
        <m/>
      </sharedItems>
    </cacheField>
    <cacheField name="Leaseup_Score" numFmtId="0">
      <sharedItems containsString="0" containsBlank="1" containsNumber="1" containsInteger="1" minValue="39" maxValue="100"/>
    </cacheField>
    <cacheField name="Site classification.1" numFmtId="0">
      <sharedItems containsBlank="1"/>
    </cacheField>
    <cacheField name="State.1" numFmtId="0">
      <sharedItems containsBlank="1"/>
    </cacheField>
    <cacheField name="Tower Type.1" numFmtId="0">
      <sharedItems containsBlank="1"/>
    </cacheField>
    <cacheField name="Height.1" numFmtId="0">
      <sharedItems containsString="0" containsBlank="1" containsNumber="1" containsInteger="1" minValue="90" maxValue="245"/>
    </cacheField>
    <cacheField name="Year Built.1" numFmtId="0">
      <sharedItems containsString="0" containsBlank="1" containsNumber="1" containsInteger="1" minValue="2017" maxValue="2022"/>
    </cacheField>
    <cacheField name="Anchor Tenant Name.1" numFmtId="0">
      <sharedItems containsBlank="1"/>
    </cacheField>
    <cacheField name="Capex.1" numFmtId="0">
      <sharedItems containsBlank="1" containsMixedTypes="1" containsNumber="1" minValue="21810.25" maxValue="134545"/>
    </cacheField>
    <cacheField name="Site Number.2" numFmtId="0">
      <sharedItems containsString="0" containsBlank="1" containsNumber="1" containsInteger="1" minValue="1" maxValue="500"/>
    </cacheField>
    <cacheField name="Site classification.2" numFmtId="0">
      <sharedItems containsBlank="1"/>
    </cacheField>
    <cacheField name="State.2" numFmtId="0">
      <sharedItems containsBlank="1"/>
    </cacheField>
    <cacheField name="Capex.2" numFmtId="0">
      <sharedItems containsBlank="1" containsMixedTypes="1" containsNumber="1" minValue="20330" maxValue="134545"/>
    </cacheField>
    <cacheField name="Anchor Tenant Starting Monthly Rent" numFmtId="0">
      <sharedItems containsString="0" containsBlank="1" containsNumber="1" containsInteger="1" minValue="825" maxValue="1150"/>
    </cacheField>
    <cacheField name="Ground Lease Rent OPEX" numFmtId="0">
      <sharedItems containsString="0" containsBlank="1" containsNumber="1" containsInteger="1" minValue="150" maxValue="700"/>
    </cacheField>
    <cacheField name="Net_Annual_Income" numFmtId="0">
      <sharedItems containsString="0" containsBlank="1" containsNumber="1" containsInteger="1" minValue="1500" maxValue="12600"/>
    </cacheField>
    <cacheField name="Payback_Years" numFmtId="0">
      <sharedItems containsBlank="1" containsMixedTypes="1" containsNumber="1" minValue="2.8450000000000002" maxValue="78.881540000000001"/>
    </cacheField>
    <cacheField name="Payback_Category" numFmtId="0">
      <sharedItems containsBlank="1" count="4">
        <s v="5-10 years Pay Back"/>
        <s v="10+ years Pay Back"/>
        <s v="1-5 years Pay Back"/>
        <m/>
      </sharedItems>
    </cacheField>
  </cacheFields>
  <extLst>
    <ext xmlns:x14="http://schemas.microsoft.com/office/spreadsheetml/2009/9/main" uri="{725AE2AE-9491-48be-B2B4-4EB974FC3084}">
      <x14:pivotCacheDefinition pivotCacheId="1134190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n v="7"/>
    <x v="0"/>
    <x v="0"/>
    <x v="0"/>
    <x v="0"/>
    <x v="0"/>
    <s v="Tenant B"/>
    <n v="82296"/>
    <n v="0"/>
    <n v="1"/>
    <n v="405"/>
    <x v="0"/>
    <n v="100"/>
    <s v="Urban"/>
    <s v="TX"/>
    <s v="SST"/>
    <n v="225"/>
    <n v="2022"/>
    <s v="Tenant B"/>
    <n v="129996.24"/>
    <n v="1"/>
    <s v="Suburban"/>
    <s v="FL"/>
    <n v="45713"/>
    <n v="950"/>
    <n v="325"/>
    <n v="7500"/>
    <s v="6.095066666666667"/>
    <x v="0"/>
  </r>
  <r>
    <n v="20"/>
    <x v="0"/>
    <x v="0"/>
    <x v="1"/>
    <x v="1"/>
    <x v="0"/>
    <s v="Tenant A"/>
    <n v="99848"/>
    <n v="0"/>
    <n v="2"/>
    <n v="233"/>
    <x v="0"/>
    <n v="97"/>
    <s v="Urban"/>
    <s v="TX"/>
    <s v="SST"/>
    <n v="210"/>
    <n v="2019"/>
    <s v="Tenant B"/>
    <n v="101233.18"/>
    <n v="2"/>
    <s v="Suburban"/>
    <s v="AZ"/>
    <n v="87959"/>
    <n v="875"/>
    <n v="300"/>
    <n v="6900"/>
    <s v="12.74768115942029"/>
    <x v="1"/>
  </r>
  <r>
    <n v="40"/>
    <x v="0"/>
    <x v="1"/>
    <x v="0"/>
    <x v="2"/>
    <x v="1"/>
    <s v="Tenant B"/>
    <n v="85397.52"/>
    <n v="0"/>
    <n v="3"/>
    <n v="403"/>
    <x v="0"/>
    <n v="97"/>
    <s v="Urban"/>
    <s v="AZ"/>
    <s v="SST"/>
    <n v="175"/>
    <n v="2021"/>
    <s v="Tenant A"/>
    <n v="104416.8"/>
    <n v="3"/>
    <s v="Suburban"/>
    <s v="FL"/>
    <n v="104673"/>
    <n v="950"/>
    <n v="275"/>
    <n v="8100"/>
    <s v="12.922592592592592"/>
    <x v="1"/>
  </r>
  <r>
    <n v="68"/>
    <x v="1"/>
    <x v="2"/>
    <x v="1"/>
    <x v="3"/>
    <x v="1"/>
    <s v="Tenant D"/>
    <n v="37968.32"/>
    <n v="0"/>
    <n v="4"/>
    <n v="486"/>
    <x v="0"/>
    <n v="95"/>
    <s v="Urban"/>
    <s v="TX"/>
    <s v="Monopole"/>
    <n v="205"/>
    <n v="2022"/>
    <s v="Tenant C"/>
    <n v="113963.75"/>
    <n v="4"/>
    <s v="Urban"/>
    <s v="FL"/>
    <n v="105980"/>
    <n v="975"/>
    <n v="400"/>
    <n v="6900"/>
    <s v="15.359420289855072"/>
    <x v="1"/>
  </r>
  <r>
    <n v="69"/>
    <x v="0"/>
    <x v="3"/>
    <x v="0"/>
    <x v="4"/>
    <x v="1"/>
    <s v="Tenant A"/>
    <n v="92378"/>
    <n v="0"/>
    <n v="5"/>
    <n v="190"/>
    <x v="0"/>
    <n v="92"/>
    <s v="Urban"/>
    <s v="TX"/>
    <s v="Monopole"/>
    <n v="205"/>
    <n v="2019"/>
    <s v="Tenant A"/>
    <n v="87276.160000000003"/>
    <n v="5"/>
    <s v="Rural"/>
    <s v="OR"/>
    <n v="20330"/>
    <n v="950"/>
    <n v="175"/>
    <n v="9300"/>
    <s v="2.186021505376344"/>
    <x v="2"/>
  </r>
  <r>
    <n v="73"/>
    <x v="0"/>
    <x v="1"/>
    <x v="1"/>
    <x v="5"/>
    <x v="1"/>
    <s v="Tenant A"/>
    <n v="84035.7"/>
    <n v="0"/>
    <n v="6"/>
    <n v="130"/>
    <x v="0"/>
    <n v="92"/>
    <s v="Urban"/>
    <s v="OR"/>
    <s v="SST"/>
    <n v="220"/>
    <n v="2019"/>
    <s v="Tenant C"/>
    <n v="95341.7"/>
    <n v="6"/>
    <s v="Rural"/>
    <s v="AZ"/>
    <n v="25682"/>
    <n v="875"/>
    <m/>
    <n v="10500"/>
    <s v="2.445904761904762"/>
    <x v="2"/>
  </r>
  <r>
    <n v="76"/>
    <x v="0"/>
    <x v="3"/>
    <x v="0"/>
    <x v="6"/>
    <x v="1"/>
    <s v="Tenant A"/>
    <n v="96011.45"/>
    <n v="0"/>
    <n v="7"/>
    <n v="359"/>
    <x v="0"/>
    <n v="92"/>
    <s v="Urban"/>
    <s v="PA"/>
    <s v="SST"/>
    <n v="165"/>
    <n v="2021"/>
    <s v="Tenant D"/>
    <n v="104685.6"/>
    <n v="7"/>
    <s v="Suburban"/>
    <s v="AZ"/>
    <n v="82296"/>
    <n v="875"/>
    <n v="250"/>
    <n v="7500"/>
    <n v="10.972799999999999"/>
    <x v="1"/>
  </r>
  <r>
    <n v="81"/>
    <x v="1"/>
    <x v="2"/>
    <x v="0"/>
    <x v="7"/>
    <x v="1"/>
    <s v="Tenant A"/>
    <n v="22632.19"/>
    <n v="0"/>
    <n v="8"/>
    <n v="236"/>
    <x v="0"/>
    <n v="92"/>
    <s v="Urban"/>
    <s v="OR"/>
    <s v="SST"/>
    <n v="220"/>
    <n v="2019"/>
    <s v="Tenant A"/>
    <n v="107577.8"/>
    <n v="8"/>
    <s v="Suburban"/>
    <s v="AZ"/>
    <n v="87868"/>
    <n v="975"/>
    <n v="375"/>
    <n v="7200"/>
    <s v="12.203888888888889"/>
    <x v="1"/>
  </r>
  <r>
    <n v="90"/>
    <x v="1"/>
    <x v="1"/>
    <x v="1"/>
    <x v="3"/>
    <x v="1"/>
    <s v="Tenant A"/>
    <n v="40276.089999999997"/>
    <n v="0"/>
    <n v="9"/>
    <n v="271"/>
    <x v="0"/>
    <n v="92"/>
    <s v="Urban"/>
    <s v="FL"/>
    <s v="SST"/>
    <n v="225"/>
    <n v="2020"/>
    <s v="Tenant C"/>
    <n v="107876.25"/>
    <n v="9"/>
    <s v="Urban"/>
    <s v="FL"/>
    <n v="107300"/>
    <n v="1150"/>
    <n v="700"/>
    <n v="5400"/>
    <s v="19.87037037037037"/>
    <x v="1"/>
  </r>
  <r>
    <n v="101"/>
    <x v="2"/>
    <x v="1"/>
    <x v="2"/>
    <x v="8"/>
    <x v="1"/>
    <s v="Tenant A"/>
    <n v="106028"/>
    <n v="0"/>
    <n v="10"/>
    <n v="133"/>
    <x v="0"/>
    <n v="92"/>
    <s v="Urban"/>
    <s v="OR"/>
    <s v="SST"/>
    <n v="215"/>
    <n v="2019"/>
    <s v="Tenant B"/>
    <n v="107933.44"/>
    <n v="10"/>
    <s v="Suburban"/>
    <s v="OR"/>
    <n v="96442"/>
    <n v="975"/>
    <n v="325"/>
    <n v="7800"/>
    <s v="12.364358974358977"/>
    <x v="1"/>
  </r>
  <r>
    <n v="112"/>
    <x v="0"/>
    <x v="2"/>
    <x v="1"/>
    <x v="9"/>
    <x v="1"/>
    <s v="Tenant C"/>
    <n v="108379.69"/>
    <n v="0"/>
    <n v="11"/>
    <n v="252"/>
    <x v="0"/>
    <n v="92"/>
    <s v="Urban"/>
    <s v="FL"/>
    <s v="SST"/>
    <n v="215"/>
    <n v="2019"/>
    <s v="Tenant C"/>
    <n v="116251.26"/>
    <n v="11"/>
    <s v="Rural"/>
    <s v="PA"/>
    <n v="37827"/>
    <n v="950"/>
    <n v="350"/>
    <n v="7200"/>
    <n v="5.2537500000000001"/>
    <x v="0"/>
  </r>
  <r>
    <n v="118"/>
    <x v="1"/>
    <x v="2"/>
    <x v="0"/>
    <x v="2"/>
    <x v="1"/>
    <s v="Tenant A"/>
    <s v="26424.300000000003"/>
    <n v="0"/>
    <n v="12"/>
    <n v="500"/>
    <x v="0"/>
    <n v="92"/>
    <s v="Urban"/>
    <s v="FL"/>
    <s v="SST"/>
    <n v="170"/>
    <n v="2022"/>
    <s v="Tenant B"/>
    <n v="121382.5"/>
    <n v="12"/>
    <s v="Suburban"/>
    <s v="PA"/>
    <n v="92789"/>
    <n v="875"/>
    <n v="225"/>
    <n v="7800"/>
    <s v="11.89602564102564"/>
    <x v="1"/>
  </r>
  <r>
    <n v="127"/>
    <x v="1"/>
    <x v="2"/>
    <x v="1"/>
    <x v="10"/>
    <x v="2"/>
    <s v="Tenant D"/>
    <n v="28017.919999999998"/>
    <n v="0"/>
    <n v="13"/>
    <n v="426"/>
    <x v="0"/>
    <n v="92"/>
    <s v="Urban"/>
    <s v="PA"/>
    <s v="SST"/>
    <n v="185"/>
    <n v="2022"/>
    <s v="Tenant B"/>
    <n v="124918.8"/>
    <n v="13"/>
    <s v="Rural"/>
    <s v="OR"/>
    <n v="27072"/>
    <n v="950"/>
    <n v="225"/>
    <n v="8700"/>
    <s v="3.1117241379310343"/>
    <x v="2"/>
  </r>
  <r>
    <n v="128"/>
    <x v="1"/>
    <x v="1"/>
    <x v="0"/>
    <x v="11"/>
    <x v="2"/>
    <s v="Tenant D"/>
    <s v="36090.880000000005"/>
    <n v="0"/>
    <n v="14"/>
    <n v="291"/>
    <x v="0"/>
    <n v="92"/>
    <s v="Urban"/>
    <s v="FL"/>
    <s v="SST"/>
    <n v="165"/>
    <n v="2021"/>
    <s v="Tenant D"/>
    <n v="129960"/>
    <n v="14"/>
    <s v="Suburban"/>
    <s v="OR"/>
    <n v="107722"/>
    <n v="950"/>
    <n v="275"/>
    <n v="8100"/>
    <s v="13.299012345679012"/>
    <x v="1"/>
  </r>
  <r>
    <n v="129"/>
    <x v="0"/>
    <x v="4"/>
    <x v="0"/>
    <x v="12"/>
    <x v="2"/>
    <s v="Tenant B"/>
    <n v="85940.56"/>
    <n v="0"/>
    <n v="15"/>
    <n v="139"/>
    <x v="0"/>
    <n v="90"/>
    <s v="Urban"/>
    <s v="TX"/>
    <s v="SST"/>
    <n v="155"/>
    <n v="2019"/>
    <s v="Tenant C"/>
    <n v="85658.6"/>
    <n v="15"/>
    <s v="Suburban"/>
    <s v="AZ"/>
    <n v="102348"/>
    <n v="975"/>
    <n v="375"/>
    <n v="7200"/>
    <n v="14.215"/>
    <x v="1"/>
  </r>
  <r>
    <n v="132"/>
    <x v="1"/>
    <x v="3"/>
    <x v="0"/>
    <x v="11"/>
    <x v="2"/>
    <s v="Tenant A"/>
    <n v="31024.080000000002"/>
    <n v="0"/>
    <n v="16"/>
    <n v="496"/>
    <x v="0"/>
    <n v="90"/>
    <s v="Suburban"/>
    <s v="TX"/>
    <s v="SST"/>
    <n v="225"/>
    <n v="2022"/>
    <s v="Tenant A"/>
    <n v="105875"/>
    <n v="16"/>
    <s v="Rural"/>
    <s v="PA"/>
    <n v="23964"/>
    <n v="950"/>
    <n v="325"/>
    <n v="7500"/>
    <n v="3.1951999999999998"/>
    <x v="2"/>
  </r>
  <r>
    <n v="140"/>
    <x v="1"/>
    <x v="0"/>
    <x v="0"/>
    <x v="13"/>
    <x v="2"/>
    <s v="Tenant C"/>
    <n v="31352.68"/>
    <n v="0"/>
    <n v="17"/>
    <n v="310"/>
    <x v="0"/>
    <n v="90"/>
    <s v="Suburban"/>
    <s v="TX"/>
    <s v="SST"/>
    <n v="200"/>
    <n v="2021"/>
    <s v="Tenant D"/>
    <n v="108994.8"/>
    <n v="17"/>
    <s v="Rural"/>
    <s v="PA"/>
    <n v="34124"/>
    <n v="875"/>
    <n v="200"/>
    <n v="8100"/>
    <s v="4.212839506172839"/>
    <x v="2"/>
  </r>
  <r>
    <n v="152"/>
    <x v="0"/>
    <x v="3"/>
    <x v="0"/>
    <x v="14"/>
    <x v="2"/>
    <s v="Tenant B"/>
    <n v="102749.9"/>
    <n v="0"/>
    <n v="18"/>
    <n v="345"/>
    <x v="0"/>
    <n v="90"/>
    <s v="Suburban"/>
    <s v="AZ"/>
    <s v="SST"/>
    <n v="225"/>
    <n v="2021"/>
    <s v="Tenant C"/>
    <n v="110974.8"/>
    <n v="18"/>
    <s v="Urban"/>
    <s v="FL"/>
    <n v="101143"/>
    <n v="1050"/>
    <n v="700"/>
    <n v="4200"/>
    <s v="24.081666666666667"/>
    <x v="1"/>
  </r>
  <r>
    <n v="162"/>
    <x v="1"/>
    <x v="2"/>
    <x v="0"/>
    <x v="15"/>
    <x v="2"/>
    <s v="Tenant D"/>
    <s v="34003.740000000005"/>
    <n v="0"/>
    <n v="19"/>
    <n v="388"/>
    <x v="0"/>
    <n v="90"/>
    <s v="Suburban"/>
    <s v="TX"/>
    <s v="SST"/>
    <n v="225"/>
    <n v="2021"/>
    <s v="Tenant D"/>
    <n v="113912.4"/>
    <n v="19"/>
    <s v="Suburban"/>
    <s v="OR"/>
    <n v="94320"/>
    <n v="975"/>
    <n v="325"/>
    <n v="7800"/>
    <s v="12.092307692307692"/>
    <x v="1"/>
  </r>
  <r>
    <n v="169"/>
    <x v="1"/>
    <x v="0"/>
    <x v="1"/>
    <x v="6"/>
    <x v="2"/>
    <s v="Tenant C"/>
    <n v="39719.160000000003"/>
    <n v="0"/>
    <n v="20"/>
    <n v="425"/>
    <x v="0"/>
    <n v="90"/>
    <s v="Urban"/>
    <s v="FL"/>
    <s v="Monopole"/>
    <n v="200"/>
    <n v="2022"/>
    <s v="Tenant A"/>
    <n v="123644.52"/>
    <n v="20"/>
    <s v="Suburban"/>
    <s v="AZ"/>
    <n v="99848"/>
    <n v="950"/>
    <n v="175"/>
    <n v="9300"/>
    <s v="10.736344086021504"/>
    <x v="1"/>
  </r>
  <r>
    <n v="172"/>
    <x v="0"/>
    <x v="0"/>
    <x v="0"/>
    <x v="6"/>
    <x v="2"/>
    <s v="Tenant C"/>
    <n v="115790.16"/>
    <n v="0"/>
    <n v="21"/>
    <n v="449"/>
    <x v="0"/>
    <n v="90"/>
    <s v="Suburban"/>
    <s v="TX"/>
    <s v="SST"/>
    <n v="230"/>
    <n v="2022"/>
    <s v="Tenant C"/>
    <n v="128345.58"/>
    <n v="21"/>
    <s v="Suburban"/>
    <s v="OR"/>
    <n v="104788"/>
    <n v="875"/>
    <n v="350"/>
    <n v="6300"/>
    <s v="16.63301587301587"/>
    <x v="1"/>
  </r>
  <r>
    <n v="184"/>
    <x v="0"/>
    <x v="0"/>
    <x v="1"/>
    <x v="6"/>
    <x v="2"/>
    <s v="Tenant B"/>
    <n v="99127.8"/>
    <n v="0"/>
    <n v="22"/>
    <n v="262"/>
    <x v="0"/>
    <n v="90"/>
    <s v="Urban"/>
    <s v="TX"/>
    <s v="SST"/>
    <n v="135"/>
    <n v="2020"/>
    <s v="Tenant B"/>
    <n v="130727.5"/>
    <n v="22"/>
    <s v="Suburban"/>
    <s v="TX"/>
    <n v="90568"/>
    <n v="950"/>
    <n v="350"/>
    <n v="7200"/>
    <s v="12.578888888888889"/>
    <x v="1"/>
  </r>
  <r>
    <n v="191"/>
    <x v="1"/>
    <x v="2"/>
    <x v="0"/>
    <x v="16"/>
    <x v="2"/>
    <s v="Tenant C"/>
    <n v="37345.32"/>
    <n v="0"/>
    <n v="23"/>
    <n v="259"/>
    <x v="0"/>
    <n v="90"/>
    <s v="Urban"/>
    <s v="AZ"/>
    <s v="SST"/>
    <n v="155"/>
    <n v="2020"/>
    <s v="Tenant A"/>
    <n v="134545"/>
    <n v="23"/>
    <s v="Suburban"/>
    <s v="TX"/>
    <n v="108542"/>
    <n v="950"/>
    <n v="400"/>
    <n v="6600"/>
    <s v="16.445757575757575"/>
    <x v="1"/>
  </r>
  <r>
    <n v="198"/>
    <x v="1"/>
    <x v="2"/>
    <x v="1"/>
    <x v="9"/>
    <x v="2"/>
    <s v="Tenant C"/>
    <s v="26142.480000000003"/>
    <n v="0"/>
    <n v="24"/>
    <n v="109"/>
    <x v="0"/>
    <n v="89"/>
    <s v="Urban"/>
    <s v="FL"/>
    <s v="SST"/>
    <n v="205"/>
    <n v="2018"/>
    <s v="Tenant B"/>
    <n v="82589.52"/>
    <n v="24"/>
    <s v="Suburban"/>
    <s v="PA"/>
    <n v="97806"/>
    <n v="950"/>
    <n v="450"/>
    <n v="6000"/>
    <n v="16.300999999999998"/>
    <x v="1"/>
  </r>
  <r>
    <n v="208"/>
    <x v="1"/>
    <x v="4"/>
    <x v="1"/>
    <x v="6"/>
    <x v="2"/>
    <s v="Tenant D"/>
    <n v="26345.52"/>
    <n v="0"/>
    <n v="25"/>
    <n v="67"/>
    <x v="0"/>
    <n v="89"/>
    <s v="Urban"/>
    <s v="FL"/>
    <s v="SST"/>
    <n v="225"/>
    <n v="2018"/>
    <s v="Tenant A"/>
    <n v="98328.88"/>
    <n v="25"/>
    <s v="Rural"/>
    <s v="TX"/>
    <n v="24532"/>
    <n v="875"/>
    <n v="200"/>
    <n v="8100"/>
    <s v="3.0286419753086418"/>
    <x v="2"/>
  </r>
  <r>
    <n v="211"/>
    <x v="0"/>
    <x v="3"/>
    <x v="2"/>
    <x v="10"/>
    <x v="2"/>
    <s v="Tenant D"/>
    <n v="100977.72"/>
    <n v="0"/>
    <n v="26"/>
    <n v="58"/>
    <x v="0"/>
    <n v="89"/>
    <s v="Urban"/>
    <s v="PA"/>
    <s v="SST"/>
    <n v="200"/>
    <n v="2018"/>
    <s v="Tenant A"/>
    <n v="99344.53"/>
    <n v="26"/>
    <s v="Suburban"/>
    <s v="PA"/>
    <n v="105910"/>
    <n v="875"/>
    <n v="250"/>
    <n v="7500"/>
    <s v="14.121333333333334"/>
    <x v="1"/>
  </r>
  <r>
    <n v="237"/>
    <x v="1"/>
    <x v="3"/>
    <x v="0"/>
    <x v="17"/>
    <x v="2"/>
    <s v="Tenant A"/>
    <s v="42262.560000000005"/>
    <n v="0"/>
    <n v="27"/>
    <n v="4"/>
    <x v="0"/>
    <n v="89"/>
    <s v="Urban"/>
    <s v="FL"/>
    <s v="SST"/>
    <n v="200"/>
    <n v="2017"/>
    <s v="Tenant C"/>
    <n v="105980"/>
    <n v="27"/>
    <s v="Rural"/>
    <s v="AZ"/>
    <n v="32826"/>
    <n v="950"/>
    <n v="225"/>
    <n v="8700"/>
    <s v="3.773103448275862"/>
    <x v="2"/>
  </r>
  <r>
    <n v="243"/>
    <x v="1"/>
    <x v="3"/>
    <x v="0"/>
    <x v="8"/>
    <x v="2"/>
    <s v="Tenant D"/>
    <s v="39854.100000000006"/>
    <n v="0"/>
    <n v="28"/>
    <n v="173"/>
    <x v="0"/>
    <n v="89"/>
    <s v="Urban"/>
    <s v="OR"/>
    <s v="SST"/>
    <n v="160"/>
    <n v="2019"/>
    <s v="Tenant C"/>
    <n v="116568.2"/>
    <n v="28"/>
    <s v="Suburban"/>
    <s v="FL"/>
    <n v="105300"/>
    <n v="950"/>
    <n v="275"/>
    <n v="8100"/>
    <n v="13"/>
    <x v="1"/>
  </r>
  <r>
    <n v="265"/>
    <x v="0"/>
    <x v="4"/>
    <x v="0"/>
    <x v="18"/>
    <x v="3"/>
    <s v="Tenant D"/>
    <n v="130821.25"/>
    <n v="0"/>
    <n v="29"/>
    <n v="372"/>
    <x v="0"/>
    <n v="88"/>
    <s v="Urban"/>
    <s v="FL"/>
    <s v="Guyed Tower"/>
    <n v="200"/>
    <n v="2021"/>
    <s v="Tenant A"/>
    <n v="112762.8"/>
    <n v="29"/>
    <s v="Rural"/>
    <s v="PA"/>
    <n v="29622"/>
    <n v="975"/>
    <n v="350"/>
    <n v="7500"/>
    <n v="3.9496000000000002"/>
    <x v="2"/>
  </r>
  <r>
    <n v="270"/>
    <x v="1"/>
    <x v="2"/>
    <x v="0"/>
    <x v="6"/>
    <x v="3"/>
    <s v="Tenant A"/>
    <n v="39086.25"/>
    <n v="0"/>
    <n v="30"/>
    <n v="129"/>
    <x v="0"/>
    <n v="87"/>
    <s v="Suburban"/>
    <s v="TX"/>
    <s v="SST"/>
    <n v="205"/>
    <n v="2019"/>
    <s v="Tenant B"/>
    <n v="85940.56"/>
    <n v="30"/>
    <s v="Urban"/>
    <s v="TX"/>
    <n v="93365"/>
    <n v="875"/>
    <n v="400"/>
    <n v="5700"/>
    <s v="16.37982456140351"/>
    <x v="1"/>
  </r>
  <r>
    <n v="273"/>
    <x v="1"/>
    <x v="1"/>
    <x v="1"/>
    <x v="5"/>
    <x v="3"/>
    <s v="Tenant D"/>
    <n v="43681.25"/>
    <n v="0"/>
    <n v="31"/>
    <n v="212"/>
    <x v="0"/>
    <n v="87"/>
    <s v="Suburban"/>
    <s v="TX"/>
    <s v="SST"/>
    <n v="215"/>
    <n v="2019"/>
    <s v="Tenant B"/>
    <n v="90944.7"/>
    <n v="31"/>
    <s v="Suburban"/>
    <s v="FL"/>
    <n v="88961"/>
    <n v="875"/>
    <n v="300"/>
    <n v="6900"/>
    <s v="12.892898550724638"/>
    <x v="1"/>
  </r>
  <r>
    <n v="276"/>
    <x v="0"/>
    <x v="1"/>
    <x v="0"/>
    <x v="3"/>
    <x v="3"/>
    <s v="Tenant D"/>
    <n v="122871.25"/>
    <n v="0"/>
    <n v="32"/>
    <n v="75"/>
    <x v="0"/>
    <n v="87"/>
    <s v="Urban"/>
    <s v="AZ"/>
    <s v="SST"/>
    <n v="130"/>
    <n v="2018"/>
    <s v="Tenant B"/>
    <n v="95874.46"/>
    <n v="32"/>
    <s v="Rural"/>
    <s v="FL"/>
    <n v="24868"/>
    <n v="950"/>
    <n v="325"/>
    <n v="7500"/>
    <s v="3.315733333333333"/>
    <x v="2"/>
  </r>
  <r>
    <n v="277"/>
    <x v="0"/>
    <x v="1"/>
    <x v="0"/>
    <x v="7"/>
    <x v="4"/>
    <s v="Tenant C"/>
    <n v="108067.94"/>
    <n v="0"/>
    <n v="33"/>
    <n v="176"/>
    <x v="0"/>
    <n v="87"/>
    <s v="Suburban"/>
    <s v="AZ"/>
    <s v="SST"/>
    <n v="210"/>
    <n v="2019"/>
    <s v="Tenant C"/>
    <n v="95966.04"/>
    <n v="33"/>
    <s v="Rural"/>
    <s v="OR"/>
    <n v="33341"/>
    <n v="975"/>
    <n v="325"/>
    <n v="7800"/>
    <s v="4.2744871794871795"/>
    <x v="2"/>
  </r>
  <r>
    <n v="282"/>
    <x v="0"/>
    <x v="2"/>
    <x v="1"/>
    <x v="6"/>
    <x v="4"/>
    <s v="Tenant A"/>
    <n v="114954.42"/>
    <n v="0"/>
    <n v="34"/>
    <n v="475"/>
    <x v="0"/>
    <n v="87"/>
    <s v="Suburban"/>
    <s v="AZ"/>
    <s v="SST"/>
    <n v="170"/>
    <n v="2022"/>
    <s v="Tenant D"/>
    <n v="101576.25"/>
    <n v="34"/>
    <s v="Rural"/>
    <s v="TX"/>
    <n v="24112"/>
    <n v="975"/>
    <n v="300"/>
    <n v="8100"/>
    <n v="2.9767901234567899"/>
    <x v="2"/>
  </r>
  <r>
    <n v="301"/>
    <x v="0"/>
    <x v="4"/>
    <x v="0"/>
    <x v="16"/>
    <x v="4"/>
    <s v="Tenant D"/>
    <n v="120549.6"/>
    <n v="0"/>
    <n v="35"/>
    <n v="225"/>
    <x v="0"/>
    <n v="87"/>
    <s v="Urban"/>
    <s v="PA"/>
    <s v="Monopole"/>
    <n v="220"/>
    <n v="2019"/>
    <s v="Tenant B"/>
    <n v="105150.96"/>
    <n v="35"/>
    <s v="Suburban"/>
    <s v="TX"/>
    <n v="90675"/>
    <n v="975"/>
    <n v="375"/>
    <n v="7200"/>
    <n v="12.59375"/>
    <x v="1"/>
  </r>
  <r>
    <n v="310"/>
    <x v="0"/>
    <x v="4"/>
    <x v="0"/>
    <x v="19"/>
    <x v="4"/>
    <s v="Tenant D"/>
    <n v="108994.8"/>
    <n v="0"/>
    <n v="36"/>
    <n v="235"/>
    <x v="0"/>
    <n v="87"/>
    <s v="Suburban"/>
    <s v="TX"/>
    <s v="SST"/>
    <n v="205"/>
    <n v="2019"/>
    <s v="Tenant B"/>
    <n v="105589.78"/>
    <n v="36"/>
    <s v="Suburban"/>
    <s v="OR"/>
    <n v="90002"/>
    <n v="975"/>
    <n v="425"/>
    <n v="6600"/>
    <s v="13.636666666666668"/>
    <x v="1"/>
  </r>
  <r>
    <n v="311"/>
    <x v="1"/>
    <x v="4"/>
    <x v="0"/>
    <x v="20"/>
    <x v="4"/>
    <s v="Tenant B"/>
    <n v="26619.599999999999"/>
    <n v="0"/>
    <n v="37"/>
    <n v="393"/>
    <x v="0"/>
    <n v="87"/>
    <s v="Urban"/>
    <s v="OR"/>
    <s v="Monopole"/>
    <n v="195"/>
    <n v="2021"/>
    <s v="Tenant D"/>
    <n v="108532.8"/>
    <n v="37"/>
    <s v="Suburban"/>
    <s v="PA"/>
    <n v="82096"/>
    <n v="975"/>
    <n v="250"/>
    <n v="8700"/>
    <n v="9.4363218390804597"/>
    <x v="0"/>
  </r>
  <r>
    <n v="316"/>
    <x v="0"/>
    <x v="0"/>
    <x v="0"/>
    <x v="3"/>
    <x v="4"/>
    <s v="Tenant C"/>
    <n v="121504.8"/>
    <n v="0"/>
    <n v="38"/>
    <n v="41"/>
    <x v="0"/>
    <n v="87"/>
    <s v="Urban"/>
    <s v="TX"/>
    <s v="SST"/>
    <n v="140"/>
    <n v="2018"/>
    <s v="Tenant A"/>
    <n v="114636.9"/>
    <n v="38"/>
    <s v="Rural"/>
    <s v="PA"/>
    <n v="31061.1"/>
    <n v="875"/>
    <n v="250"/>
    <n v="7500"/>
    <s v="4.1414800000000005"/>
    <x v="2"/>
  </r>
  <r>
    <n v="317"/>
    <x v="1"/>
    <x v="2"/>
    <x v="1"/>
    <x v="9"/>
    <x v="4"/>
    <s v="Tenant B"/>
    <n v="27866.400000000001"/>
    <n v="0"/>
    <n v="39"/>
    <n v="172"/>
    <x v="0"/>
    <n v="87"/>
    <s v="Suburban"/>
    <s v="AZ"/>
    <s v="SST"/>
    <n v="215"/>
    <n v="2019"/>
    <s v="Tenant C"/>
    <n v="115790.16"/>
    <n v="39"/>
    <s v="Rural"/>
    <s v="OR"/>
    <n v="27865.95"/>
    <n v="950"/>
    <n v="175"/>
    <n v="9300"/>
    <s v="2.996338709677419"/>
    <x v="2"/>
  </r>
  <r>
    <n v="332"/>
    <x v="0"/>
    <x v="1"/>
    <x v="0"/>
    <x v="11"/>
    <x v="4"/>
    <s v="Tenant A"/>
    <n v="97030.8"/>
    <n v="0"/>
    <n v="40"/>
    <n v="316"/>
    <x v="0"/>
    <n v="87"/>
    <s v="Suburban"/>
    <s v="AZ"/>
    <s v="SST"/>
    <n v="195"/>
    <n v="2021"/>
    <s v="Tenant C"/>
    <n v="121504.8"/>
    <n v="40"/>
    <s v="Suburban"/>
    <s v="FL"/>
    <n v="85397.52"/>
    <n v="875"/>
    <n v="175"/>
    <n v="8400"/>
    <s v="10.166371428571429"/>
    <x v="1"/>
  </r>
  <r>
    <n v="336"/>
    <x v="1"/>
    <x v="3"/>
    <x v="0"/>
    <x v="21"/>
    <x v="4"/>
    <s v="Tenant A"/>
    <n v="38684.400000000001"/>
    <n v="0"/>
    <n v="41"/>
    <n v="335"/>
    <x v="0"/>
    <n v="87"/>
    <s v="Suburban"/>
    <s v="TX"/>
    <s v="SST"/>
    <n v="190"/>
    <n v="2021"/>
    <s v="Tenant D"/>
    <n v="128043.6"/>
    <n v="41"/>
    <s v="Urban"/>
    <s v="TX"/>
    <n v="114636.9"/>
    <n v="950"/>
    <n v="350"/>
    <n v="7200"/>
    <s v="15.921791666666667"/>
    <x v="1"/>
  </r>
  <r>
    <n v="343"/>
    <x v="1"/>
    <x v="1"/>
    <x v="1"/>
    <x v="12"/>
    <x v="4"/>
    <s v="Tenant B"/>
    <n v="33500.400000000001"/>
    <n v="0"/>
    <n v="42"/>
    <n v="43"/>
    <x v="0"/>
    <n v="86"/>
    <s v="Urban"/>
    <s v="TX"/>
    <s v="Monopole"/>
    <n v="160"/>
    <n v="2018"/>
    <s v="Tenant C"/>
    <n v="108223.5"/>
    <n v="42"/>
    <s v="Rural"/>
    <s v="PA"/>
    <n v="23124.400000000001"/>
    <n v="950"/>
    <n v="300"/>
    <n v="7800"/>
    <s v="2.964666666666667"/>
    <x v="2"/>
  </r>
  <r>
    <n v="345"/>
    <x v="0"/>
    <x v="0"/>
    <x v="0"/>
    <x v="21"/>
    <x v="4"/>
    <s v="Tenant C"/>
    <n v="110974.8"/>
    <n v="0"/>
    <n v="43"/>
    <n v="415"/>
    <x v="0"/>
    <n v="85"/>
    <s v="Suburban"/>
    <s v="PA"/>
    <s v="SST"/>
    <n v="230"/>
    <n v="2022"/>
    <s v="Tenant B"/>
    <n v="103264.65"/>
    <n v="43"/>
    <s v="Urban"/>
    <s v="TX"/>
    <n v="108223.5"/>
    <n v="975"/>
    <n v="350"/>
    <n v="7500"/>
    <n v="14.4298"/>
    <x v="1"/>
  </r>
  <r>
    <n v="354"/>
    <x v="1"/>
    <x v="2"/>
    <x v="0"/>
    <x v="22"/>
    <x v="4"/>
    <s v="Tenant C"/>
    <n v="37770"/>
    <n v="0"/>
    <n v="44"/>
    <n v="347"/>
    <x v="0"/>
    <n v="85"/>
    <s v="Suburban"/>
    <s v="OR"/>
    <s v="SST"/>
    <n v="200"/>
    <n v="2021"/>
    <s v="Tenant D"/>
    <n v="104378.4"/>
    <n v="44"/>
    <s v="Suburban"/>
    <s v="PA"/>
    <n v="110680.5"/>
    <n v="950"/>
    <n v="375"/>
    <n v="6900"/>
    <s v="16.040652173913042"/>
    <x v="1"/>
  </r>
  <r>
    <n v="360"/>
    <x v="1"/>
    <x v="2"/>
    <x v="0"/>
    <x v="6"/>
    <x v="4"/>
    <s v="Tenant B"/>
    <n v="42669.599999999999"/>
    <n v="0"/>
    <n v="45"/>
    <n v="400"/>
    <x v="0"/>
    <n v="85"/>
    <s v="Suburban"/>
    <s v="PA"/>
    <s v="SST"/>
    <n v="230"/>
    <n v="2021"/>
    <s v="Tenant A"/>
    <n v="104485.2"/>
    <n v="45"/>
    <s v="Rural"/>
    <s v="OR"/>
    <n v="22866"/>
    <n v="950"/>
    <n v="275"/>
    <n v="8100"/>
    <s v="2.822962962962963"/>
    <x v="2"/>
  </r>
  <r>
    <n v="373"/>
    <x v="1"/>
    <x v="2"/>
    <x v="1"/>
    <x v="4"/>
    <x v="4"/>
    <s v="Tenant C"/>
    <n v="28458"/>
    <n v="0"/>
    <n v="46"/>
    <n v="284"/>
    <x v="0"/>
    <n v="85"/>
    <s v="Suburban"/>
    <s v="OR"/>
    <s v="SST"/>
    <n v="220"/>
    <n v="2021"/>
    <s v="Tenant A"/>
    <n v="104505.52"/>
    <n v="46"/>
    <s v="Rural"/>
    <s v="PA"/>
    <n v="23549.4"/>
    <n v="950"/>
    <n v="275"/>
    <n v="8100"/>
    <s v="2.9073333333333333"/>
    <x v="2"/>
  </r>
  <r>
    <n v="375"/>
    <x v="1"/>
    <x v="3"/>
    <x v="0"/>
    <x v="11"/>
    <x v="4"/>
    <s v="Tenant D"/>
    <n v="39402"/>
    <n v="0"/>
    <n v="47"/>
    <n v="296"/>
    <x v="0"/>
    <n v="85"/>
    <s v="Suburban"/>
    <s v="FL"/>
    <s v="SST"/>
    <n v="205"/>
    <n v="2021"/>
    <s v="Tenant B"/>
    <n v="106387.2"/>
    <n v="47"/>
    <s v="Suburban"/>
    <s v="TX"/>
    <n v="92478.88"/>
    <n v="975"/>
    <n v="375"/>
    <n v="7200"/>
    <s v="12.84428888888889"/>
    <x v="1"/>
  </r>
  <r>
    <n v="377"/>
    <x v="1"/>
    <x v="2"/>
    <x v="0"/>
    <x v="23"/>
    <x v="4"/>
    <s v="Tenant C"/>
    <n v="33474"/>
    <n v="0"/>
    <n v="48"/>
    <n v="456"/>
    <x v="0"/>
    <n v="85"/>
    <s v="Suburban"/>
    <s v="TX"/>
    <s v="Monopole"/>
    <n v="205"/>
    <n v="2022"/>
    <s v="Tenant B"/>
    <n v="108028.44"/>
    <n v="48"/>
    <s v="Suburban"/>
    <s v="OR"/>
    <n v="95682.3"/>
    <n v="950"/>
    <n v="350"/>
    <n v="7200"/>
    <s v="13.289208333333336"/>
    <x v="1"/>
  </r>
  <r>
    <n v="381"/>
    <x v="1"/>
    <x v="3"/>
    <x v="0"/>
    <x v="21"/>
    <x v="4"/>
    <s v="Tenant B"/>
    <n v="46520.4"/>
    <n v="0"/>
    <n v="49"/>
    <n v="438"/>
    <x v="0"/>
    <n v="85"/>
    <s v="Suburban"/>
    <s v="FL"/>
    <s v="SST"/>
    <n v="240"/>
    <n v="2022"/>
    <s v="Tenant B"/>
    <n v="108171.12"/>
    <n v="49"/>
    <s v="Rural"/>
    <s v="AZ"/>
    <n v="33360.6"/>
    <n v="950"/>
    <n v="325"/>
    <n v="7500"/>
    <n v="4.44808"/>
    <x v="2"/>
  </r>
  <r>
    <n v="413"/>
    <x v="1"/>
    <x v="2"/>
    <x v="0"/>
    <x v="0"/>
    <x v="5"/>
    <s v="Tenant D"/>
    <n v="28665.15"/>
    <n v="0"/>
    <n v="50"/>
    <n v="454"/>
    <x v="0"/>
    <n v="85"/>
    <s v="Suburban"/>
    <s v="OR"/>
    <s v="SST"/>
    <n v="200"/>
    <n v="2022"/>
    <s v="Tenant B"/>
    <n v="108716.01"/>
    <n v="50"/>
    <s v="Suburban"/>
    <s v="FL"/>
    <n v="105296.1"/>
    <n v="950"/>
    <n v="250"/>
    <n v="8400"/>
    <n v="12.53525"/>
    <x v="1"/>
  </r>
  <r>
    <n v="414"/>
    <x v="1"/>
    <x v="2"/>
    <x v="3"/>
    <x v="24"/>
    <x v="5"/>
    <s v="Tenant A"/>
    <n v="33428.94"/>
    <n v="0"/>
    <n v="51"/>
    <n v="436"/>
    <x v="0"/>
    <n v="85"/>
    <s v="Suburban"/>
    <s v="AZ"/>
    <s v="Monopole"/>
    <n v="240"/>
    <n v="2022"/>
    <s v="Tenant C"/>
    <n v="116604"/>
    <n v="51"/>
    <s v="Suburban"/>
    <s v="OR"/>
    <n v="89722.5"/>
    <n v="975"/>
    <n v="400"/>
    <n v="6900"/>
    <s v="13.003260869565215"/>
    <x v="1"/>
  </r>
  <r>
    <n v="416"/>
    <x v="1"/>
    <x v="0"/>
    <x v="1"/>
    <x v="25"/>
    <x v="5"/>
    <s v="Tenant B"/>
    <n v="42002.04"/>
    <n v="0"/>
    <n v="52"/>
    <n v="297"/>
    <x v="0"/>
    <n v="85"/>
    <s v="Suburban"/>
    <s v="FL"/>
    <s v="SST"/>
    <n v="225"/>
    <n v="2021"/>
    <s v="Tenant A"/>
    <n v="117471.6"/>
    <n v="52"/>
    <s v="Suburban"/>
    <s v="FL"/>
    <n v="105608.88"/>
    <n v="950"/>
    <n v="200"/>
    <n v="9000"/>
    <n v="11.73432"/>
    <x v="1"/>
  </r>
  <r>
    <n v="422"/>
    <x v="0"/>
    <x v="2"/>
    <x v="1"/>
    <x v="16"/>
    <x v="5"/>
    <s v="Tenant C"/>
    <n v="109419.57"/>
    <n v="0"/>
    <n v="53"/>
    <n v="383"/>
    <x v="0"/>
    <n v="85"/>
    <s v="Suburban"/>
    <s v="TX"/>
    <s v="Monopole"/>
    <n v="245"/>
    <n v="2021"/>
    <s v="Tenant A"/>
    <n v="117771.6"/>
    <n v="53"/>
    <s v="Suburban"/>
    <s v="TX"/>
    <n v="101242.05"/>
    <n v="950"/>
    <n v="150"/>
    <n v="9600"/>
    <n v="10.546046875"/>
    <x v="1"/>
  </r>
  <r>
    <n v="449"/>
    <x v="0"/>
    <x v="4"/>
    <x v="0"/>
    <x v="25"/>
    <x v="5"/>
    <s v="Tenant C"/>
    <n v="128345.58"/>
    <n v="0"/>
    <n v="54"/>
    <n v="407"/>
    <x v="0"/>
    <n v="85"/>
    <s v="Suburban"/>
    <s v="OR"/>
    <s v="SST"/>
    <n v="235"/>
    <n v="2022"/>
    <s v="Tenant B"/>
    <n v="119570.76"/>
    <n v="54"/>
    <s v="Suburban"/>
    <s v="AZ"/>
    <n v="92169.55"/>
    <n v="975"/>
    <n v="425"/>
    <n v="6600"/>
    <s v="13.965083333333334"/>
    <x v="1"/>
  </r>
  <r>
    <n v="452"/>
    <x v="2"/>
    <x v="1"/>
    <x v="0"/>
    <x v="26"/>
    <x v="5"/>
    <s v="Tenant A"/>
    <n v="110757.81"/>
    <n v="0"/>
    <n v="55"/>
    <n v="287"/>
    <x v="0"/>
    <n v="85"/>
    <s v="Suburban"/>
    <s v="FL"/>
    <s v="SST"/>
    <n v="215"/>
    <n v="2021"/>
    <s v="Tenant A"/>
    <n v="121669.2"/>
    <n v="55"/>
    <s v="Rural"/>
    <s v="TX"/>
    <n v="28861.63"/>
    <n v="825"/>
    <n v="325"/>
    <n v="6000"/>
    <s v="4.810271666666667"/>
    <x v="2"/>
  </r>
  <r>
    <n v="454"/>
    <x v="0"/>
    <x v="3"/>
    <x v="0"/>
    <x v="19"/>
    <x v="5"/>
    <s v="Tenant B"/>
    <n v="108716.01"/>
    <n v="0"/>
    <n v="56"/>
    <n v="478"/>
    <x v="0"/>
    <n v="85"/>
    <s v="Suburban"/>
    <s v="TX"/>
    <s v="Monopole"/>
    <n v="220"/>
    <n v="2022"/>
    <s v="Tenant D"/>
    <n v="124838.75"/>
    <n v="56"/>
    <s v="Rural"/>
    <s v="TX"/>
    <n v="26795.599999999999"/>
    <n v="825"/>
    <n v="275"/>
    <n v="6600"/>
    <s v="4.059939393939394"/>
    <x v="2"/>
  </r>
  <r>
    <n v="460"/>
    <x v="1"/>
    <x v="4"/>
    <x v="0"/>
    <x v="12"/>
    <x v="5"/>
    <s v="Tenant C"/>
    <n v="41480.519999999997"/>
    <n v="0"/>
    <n v="57"/>
    <n v="423"/>
    <x v="0"/>
    <n v="85"/>
    <s v="Suburban"/>
    <s v="FL"/>
    <s v="SST"/>
    <n v="200"/>
    <n v="2022"/>
    <s v="Tenant C"/>
    <n v="125300.1"/>
    <n v="57"/>
    <s v="Suburban"/>
    <s v="FL"/>
    <n v="94088.8"/>
    <n v="950"/>
    <n v="300"/>
    <n v="7800"/>
    <s v="12.062666666666669"/>
    <x v="1"/>
  </r>
  <r>
    <n v="468"/>
    <x v="1"/>
    <x v="4"/>
    <x v="1"/>
    <x v="27"/>
    <x v="5"/>
    <s v="Tenant D"/>
    <n v="36393.75"/>
    <n v="0"/>
    <n v="58"/>
    <n v="369"/>
    <x v="0"/>
    <n v="85"/>
    <s v="Suburban"/>
    <s v="FL"/>
    <s v="SST"/>
    <n v="200"/>
    <n v="2021"/>
    <s v="Tenant B"/>
    <n v="126607.2"/>
    <n v="58"/>
    <s v="Urban"/>
    <s v="PA"/>
    <n v="99344.53"/>
    <n v="950"/>
    <n v="375"/>
    <n v="6900"/>
    <s v="14.397757971014492"/>
    <x v="1"/>
  </r>
  <r>
    <n v="469"/>
    <x v="0"/>
    <x v="4"/>
    <x v="1"/>
    <x v="15"/>
    <x v="5"/>
    <s v="Tenant B"/>
    <n v="118886.25"/>
    <n v="0"/>
    <n v="59"/>
    <n v="351"/>
    <x v="0"/>
    <n v="85"/>
    <s v="Suburban"/>
    <s v="AZ"/>
    <s v="Monopole"/>
    <n v="230"/>
    <n v="2021"/>
    <s v="Tenant C"/>
    <n v="126897.60000000001"/>
    <n v="59"/>
    <s v="Suburban"/>
    <s v="OR"/>
    <n v="110199.7"/>
    <n v="975"/>
    <n v="225"/>
    <n v="9000"/>
    <s v="12.244411111111113"/>
    <x v="1"/>
  </r>
  <r>
    <n v="471"/>
    <x v="0"/>
    <x v="3"/>
    <x v="0"/>
    <x v="0"/>
    <x v="5"/>
    <s v="Tenant D"/>
    <n v="133112.5"/>
    <n v="0"/>
    <n v="60"/>
    <n v="390"/>
    <x v="0"/>
    <n v="85"/>
    <s v="Suburban"/>
    <s v="FL"/>
    <s v="SST"/>
    <n v="205"/>
    <n v="2021"/>
    <s v="Tenant B"/>
    <n v="130543.2"/>
    <n v="60"/>
    <s v="Rural"/>
    <s v="PA"/>
    <n v="26023.919999999998"/>
    <n v="975"/>
    <n v="200"/>
    <n v="9300"/>
    <s v="2.7982709677419355"/>
    <x v="2"/>
  </r>
  <r>
    <n v="472"/>
    <x v="0"/>
    <x v="1"/>
    <x v="3"/>
    <x v="5"/>
    <x v="5"/>
    <s v="Tenant D"/>
    <n v="117221.25"/>
    <n v="0"/>
    <n v="61"/>
    <n v="201"/>
    <x v="0"/>
    <n v="84"/>
    <s v="Suburban"/>
    <s v="TX"/>
    <s v="SST"/>
    <n v="170"/>
    <n v="2019"/>
    <s v="Tenant D"/>
    <n v="90472.06"/>
    <n v="61"/>
    <s v="Rural"/>
    <s v="AZ"/>
    <n v="21848.400000000001"/>
    <n v="825"/>
    <n v="375"/>
    <n v="5400"/>
    <n v="4.0460000000000003"/>
    <x v="2"/>
  </r>
  <r>
    <n v="483"/>
    <x v="1"/>
    <x v="2"/>
    <x v="1"/>
    <x v="28"/>
    <x v="5"/>
    <s v="Tenant A"/>
    <n v="32045"/>
    <n v="0"/>
    <n v="62"/>
    <n v="53"/>
    <x v="0"/>
    <n v="84"/>
    <s v="Suburban"/>
    <s v="TX"/>
    <s v="SST"/>
    <n v="240"/>
    <n v="2018"/>
    <s v="Tenant A"/>
    <n v="101242.05"/>
    <n v="62"/>
    <s v="Suburban"/>
    <s v="PA"/>
    <s v="86864.40000000001"/>
    <n v="975"/>
    <n v="300"/>
    <n v="8100"/>
    <n v="10.724"/>
    <x v="1"/>
  </r>
  <r>
    <n v="491"/>
    <x v="1"/>
    <x v="3"/>
    <x v="1"/>
    <x v="21"/>
    <x v="5"/>
    <s v="Tenant B"/>
    <n v="29931.25"/>
    <n v="0"/>
    <n v="63"/>
    <n v="202"/>
    <x v="0"/>
    <n v="84"/>
    <s v="Suburban"/>
    <s v="TX"/>
    <s v="SST"/>
    <n v="175"/>
    <n v="2019"/>
    <s v="Tenant B"/>
    <n v="107986.44"/>
    <n v="63"/>
    <s v="Rural"/>
    <s v="PA"/>
    <n v="23647.52"/>
    <n v="975"/>
    <n v="350"/>
    <n v="7500"/>
    <s v="3.1530026666666666"/>
    <x v="2"/>
  </r>
  <r>
    <n v="493"/>
    <x v="1"/>
    <x v="4"/>
    <x v="0"/>
    <x v="18"/>
    <x v="5"/>
    <s v="Tenant A"/>
    <n v="46676.25"/>
    <n v="0"/>
    <n v="64"/>
    <n v="452"/>
    <x v="0"/>
    <n v="84"/>
    <s v="Urban"/>
    <s v="FL"/>
    <s v="SST"/>
    <n v="105"/>
    <n v="2022"/>
    <s v="Tenant A"/>
    <n v="110757.81"/>
    <n v="64"/>
    <s v="Suburban"/>
    <s v="AZ"/>
    <n v="85485.92"/>
    <n v="975"/>
    <n v="225"/>
    <n v="9000"/>
    <s v="9.498435555555556"/>
    <x v="0"/>
  </r>
  <r>
    <n v="497"/>
    <x v="1"/>
    <x v="2"/>
    <x v="0"/>
    <x v="4"/>
    <x v="5"/>
    <s v="Tenant B"/>
    <n v="27095"/>
    <n v="0"/>
    <n v="65"/>
    <n v="96"/>
    <x v="0"/>
    <n v="84"/>
    <s v="Suburban"/>
    <s v="AZ"/>
    <s v="SST"/>
    <n v="240"/>
    <n v="2018"/>
    <s v="Tenant A"/>
    <n v="112532.16"/>
    <n v="65"/>
    <s v="Suburban"/>
    <s v="PA"/>
    <n v="107742.12"/>
    <n v="950"/>
    <n v="450"/>
    <n v="6000"/>
    <n v="17.95702"/>
    <x v="1"/>
  </r>
  <r>
    <n v="24"/>
    <x v="0"/>
    <x v="2"/>
    <x v="0"/>
    <x v="1"/>
    <x v="0"/>
    <s v="Tenant A"/>
    <n v="97806"/>
    <n v="0"/>
    <n v="66"/>
    <n v="280"/>
    <x v="0"/>
    <n v="83"/>
    <s v="Suburban"/>
    <s v="TX"/>
    <s v="SST"/>
    <n v="150"/>
    <n v="2021"/>
    <s v="Tenant A"/>
    <n v="94686.74"/>
    <n v="66"/>
    <s v="Rural"/>
    <s v="FL"/>
    <n v="30245.279999999999"/>
    <n v="825"/>
    <n v="400"/>
    <n v="5100"/>
    <n v="5.9304470588235301"/>
    <x v="0"/>
  </r>
  <r>
    <n v="29"/>
    <x v="1"/>
    <x v="2"/>
    <x v="0"/>
    <x v="17"/>
    <x v="0"/>
    <s v="Tenant C"/>
    <n v="29622"/>
    <n v="0"/>
    <n v="67"/>
    <n v="492"/>
    <x v="0"/>
    <n v="83"/>
    <s v="Urban"/>
    <s v="FL"/>
    <s v="Monopole"/>
    <n v="130"/>
    <n v="2022"/>
    <s v="Tenant B"/>
    <n v="111505"/>
    <n v="67"/>
    <s v="Urban"/>
    <s v="FL"/>
    <n v="98328.88"/>
    <n v="950"/>
    <n v="400"/>
    <n v="6600"/>
    <s v="14.898315151515153"/>
    <x v="1"/>
  </r>
  <r>
    <n v="33"/>
    <x v="1"/>
    <x v="3"/>
    <x v="0"/>
    <x v="27"/>
    <x v="0"/>
    <s v="Tenant C"/>
    <n v="33341"/>
    <n v="0"/>
    <n v="68"/>
    <n v="421"/>
    <x v="0"/>
    <n v="83"/>
    <s v="Urban"/>
    <s v="FL"/>
    <s v="Monopole"/>
    <n v="120"/>
    <n v="2022"/>
    <s v="Tenant D"/>
    <n v="118322.31"/>
    <n v="68"/>
    <s v="Rural"/>
    <s v="PA"/>
    <n v="37968.32"/>
    <n v="825"/>
    <n v="300"/>
    <n v="6300"/>
    <n v="6.0267174603174603"/>
    <x v="0"/>
  </r>
  <r>
    <n v="39"/>
    <x v="1"/>
    <x v="3"/>
    <x v="0"/>
    <x v="29"/>
    <x v="1"/>
    <s v="Tenant A"/>
    <n v="27865.95"/>
    <n v="0"/>
    <n v="69"/>
    <n v="303"/>
    <x v="0"/>
    <n v="82"/>
    <s v="Suburban"/>
    <s v="AZ"/>
    <s v="Monopole"/>
    <n v="190"/>
    <n v="2021"/>
    <s v="Tenant D"/>
    <n v="96496.8"/>
    <n v="69"/>
    <s v="Suburban"/>
    <s v="OR"/>
    <n v="92378"/>
    <n v="950"/>
    <n v="275"/>
    <n v="8100"/>
    <s v="11.40469135802469"/>
    <x v="1"/>
  </r>
  <r>
    <n v="55"/>
    <x v="1"/>
    <x v="4"/>
    <x v="1"/>
    <x v="25"/>
    <x v="1"/>
    <s v="Tenant D"/>
    <n v="28861.63"/>
    <n v="0"/>
    <n v="70"/>
    <n v="325"/>
    <x v="0"/>
    <n v="82"/>
    <s v="Suburban"/>
    <s v="OR"/>
    <s v="SST"/>
    <n v="190"/>
    <n v="2021"/>
    <s v="Tenant C"/>
    <n v="97430.399999999994"/>
    <n v="70"/>
    <s v="Suburban"/>
    <s v="OR"/>
    <n v="90702.83"/>
    <n v="825"/>
    <n v="400"/>
    <n v="5100"/>
    <s v="17.78486862745098"/>
    <x v="1"/>
  </r>
  <r>
    <n v="56"/>
    <x v="1"/>
    <x v="4"/>
    <x v="0"/>
    <x v="17"/>
    <x v="1"/>
    <s v="Tenant D"/>
    <n v="26795.599999999999"/>
    <n v="0"/>
    <n v="71"/>
    <n v="384"/>
    <x v="0"/>
    <n v="82"/>
    <s v="Suburban"/>
    <s v="AZ"/>
    <s v="Monopole"/>
    <n v="160"/>
    <n v="2021"/>
    <s v="Tenant B"/>
    <n v="98467.199999999997"/>
    <n v="71"/>
    <s v="Suburban"/>
    <s v="TX"/>
    <n v="85768.1"/>
    <n v="950"/>
    <n v="200"/>
    <n v="9000"/>
    <n v="9.5297888888888895"/>
    <x v="0"/>
  </r>
  <r>
    <n v="59"/>
    <x v="0"/>
    <x v="3"/>
    <x v="0"/>
    <x v="23"/>
    <x v="1"/>
    <s v="Tenant C"/>
    <n v="110199.7"/>
    <n v="0"/>
    <n v="72"/>
    <n v="184"/>
    <x v="0"/>
    <n v="82"/>
    <s v="Suburban"/>
    <s v="AZ"/>
    <s v="Monopole"/>
    <n v="215"/>
    <n v="2019"/>
    <s v="Tenant B"/>
    <n v="99127.8"/>
    <n v="72"/>
    <s v="Suburban"/>
    <s v="PA"/>
    <n v="94441.36"/>
    <n v="950"/>
    <n v="375"/>
    <n v="6900"/>
    <s v="13.687153623188406"/>
    <x v="1"/>
  </r>
  <r>
    <n v="62"/>
    <x v="0"/>
    <x v="2"/>
    <x v="1"/>
    <x v="7"/>
    <x v="1"/>
    <s v="Tenant C"/>
    <s v="86864.40000000001"/>
    <n v="0"/>
    <n v="73"/>
    <n v="408"/>
    <x v="0"/>
    <n v="82"/>
    <s v="Suburban"/>
    <s v="FL"/>
    <s v="SST"/>
    <n v="190"/>
    <n v="2022"/>
    <s v="Tenant D"/>
    <n v="101814.48"/>
    <n v="73"/>
    <s v="Suburban"/>
    <s v="FL"/>
    <n v="84035.7"/>
    <n v="950"/>
    <n v="375"/>
    <n v="6900"/>
    <s v="12.179086956521738"/>
    <x v="1"/>
  </r>
  <r>
    <n v="67"/>
    <x v="2"/>
    <x v="1"/>
    <x v="0"/>
    <x v="21"/>
    <x v="1"/>
    <s v="Tenant A"/>
    <n v="98328.88"/>
    <n v="0"/>
    <n v="74"/>
    <n v="392"/>
    <x v="0"/>
    <n v="82"/>
    <s v="Suburban"/>
    <s v="PA"/>
    <s v="SST"/>
    <n v="195"/>
    <n v="2021"/>
    <s v="Tenant C"/>
    <n v="103060.8"/>
    <n v="74"/>
    <s v="Rural"/>
    <s v="TX"/>
    <n v="31138.639999999999"/>
    <n v="825"/>
    <n v="375"/>
    <n v="5400"/>
    <s v="5.766414814814815"/>
    <x v="0"/>
  </r>
  <r>
    <n v="88"/>
    <x v="1"/>
    <x v="4"/>
    <x v="1"/>
    <x v="30"/>
    <x v="1"/>
    <s v="Tenant A"/>
    <n v="28656.66"/>
    <n v="0"/>
    <n v="75"/>
    <n v="134"/>
    <x v="0"/>
    <n v="82"/>
    <s v="Suburban"/>
    <s v="AZ"/>
    <s v="Monopole"/>
    <n v="235"/>
    <n v="2019"/>
    <s v="Tenant D"/>
    <n v="103370.04"/>
    <n v="75"/>
    <s v="Urban"/>
    <s v="AZ"/>
    <n v="95874.46"/>
    <n v="875"/>
    <n v="375"/>
    <n v="6000"/>
    <s v="15.979076666666668"/>
    <x v="1"/>
  </r>
  <r>
    <n v="99"/>
    <x v="0"/>
    <x v="3"/>
    <x v="1"/>
    <x v="14"/>
    <x v="1"/>
    <s v="Tenant A"/>
    <n v="94621.28"/>
    <n v="0"/>
    <n v="76"/>
    <n v="215"/>
    <x v="0"/>
    <n v="82"/>
    <s v="Suburban"/>
    <s v="AZ"/>
    <s v="Monopole"/>
    <n v="235"/>
    <n v="2019"/>
    <s v="Tenant A"/>
    <n v="103862.52"/>
    <n v="76"/>
    <s v="Suburban"/>
    <s v="OR"/>
    <n v="96011.45"/>
    <n v="950"/>
    <n v="300"/>
    <n v="7800"/>
    <s v="12.309160256410255"/>
    <x v="1"/>
  </r>
  <r>
    <n v="103"/>
    <x v="1"/>
    <x v="3"/>
    <x v="1"/>
    <x v="13"/>
    <x v="1"/>
    <s v="Tenant A"/>
    <n v="27925.360000000001"/>
    <n v="0"/>
    <n v="77"/>
    <n v="136"/>
    <x v="0"/>
    <n v="82"/>
    <s v="Suburban"/>
    <s v="OR"/>
    <s v="SST"/>
    <n v="230"/>
    <n v="2019"/>
    <s v="Tenant B"/>
    <n v="106728.6"/>
    <n v="77"/>
    <s v="Urban"/>
    <s v="FL"/>
    <n v="90882.48"/>
    <n v="975"/>
    <n v="425"/>
    <n v="6600"/>
    <s v="13.770072727272726"/>
    <x v="1"/>
  </r>
  <r>
    <n v="106"/>
    <x v="0"/>
    <x v="1"/>
    <x v="0"/>
    <x v="27"/>
    <x v="1"/>
    <s v="Tenant A"/>
    <n v="106111.63"/>
    <n v="0"/>
    <n v="78"/>
    <n v="204"/>
    <x v="0"/>
    <n v="82"/>
    <s v="Suburban"/>
    <s v="AZ"/>
    <s v="Monopole"/>
    <n v="230"/>
    <n v="2019"/>
    <s v="Tenant C"/>
    <n v="106868.14"/>
    <n v="78"/>
    <s v="Suburban"/>
    <s v="FL"/>
    <n v="99832.95"/>
    <n v="875"/>
    <n v="150"/>
    <n v="8700"/>
    <s v="11.47505172413793"/>
    <x v="1"/>
  </r>
  <r>
    <n v="113"/>
    <x v="0"/>
    <x v="3"/>
    <x v="3"/>
    <x v="19"/>
    <x v="1"/>
    <s v="Tenant A"/>
    <n v="94965.15"/>
    <n v="0"/>
    <n v="79"/>
    <n v="277"/>
    <x v="0"/>
    <n v="82"/>
    <s v="Suburban"/>
    <s v="FL"/>
    <s v="SST"/>
    <n v="180"/>
    <n v="2021"/>
    <s v="Tenant C"/>
    <n v="108067.94"/>
    <n v="79"/>
    <s v="Suburban"/>
    <s v="TX"/>
    <n v="110904.15"/>
    <n v="975"/>
    <n v="400"/>
    <n v="6900"/>
    <s v="16.073065217391306"/>
    <x v="1"/>
  </r>
  <r>
    <n v="147"/>
    <x v="1"/>
    <x v="4"/>
    <x v="0"/>
    <x v="12"/>
    <x v="2"/>
    <s v="Tenant B"/>
    <n v="28147.9"/>
    <n v="0"/>
    <n v="80"/>
    <n v="339"/>
    <x v="0"/>
    <n v="82"/>
    <s v="Suburban"/>
    <s v="FL"/>
    <s v="SST"/>
    <n v="195"/>
    <n v="2021"/>
    <s v="Tenant A"/>
    <n v="111172.8"/>
    <n v="80"/>
    <s v="Rural"/>
    <s v="OR"/>
    <n v="40431.300000000003"/>
    <n v="875"/>
    <n v="275"/>
    <n v="7200"/>
    <s v="5.615458333333334"/>
    <x v="0"/>
  </r>
  <r>
    <n v="148"/>
    <x v="1"/>
    <x v="0"/>
    <x v="0"/>
    <x v="18"/>
    <x v="2"/>
    <s v="Tenant C"/>
    <n v="39775.32"/>
    <n v="0"/>
    <n v="81"/>
    <n v="307"/>
    <x v="0"/>
    <n v="82"/>
    <s v="Suburban"/>
    <s v="AZ"/>
    <s v="Monopole"/>
    <n v="185"/>
    <n v="2021"/>
    <s v="Tenant C"/>
    <n v="114187.2"/>
    <n v="81"/>
    <s v="Rural"/>
    <s v="PA"/>
    <n v="22632.19"/>
    <n v="950"/>
    <n v="300"/>
    <n v="7800"/>
    <s v="2.901562820512821"/>
    <x v="2"/>
  </r>
  <r>
    <n v="157"/>
    <x v="1"/>
    <x v="1"/>
    <x v="0"/>
    <x v="2"/>
    <x v="2"/>
    <s v="Tenant B"/>
    <n v="34260.26"/>
    <n v="0"/>
    <n v="82"/>
    <n v="226"/>
    <x v="0"/>
    <n v="82"/>
    <s v="Suburban"/>
    <s v="TX"/>
    <s v="Monopole"/>
    <n v="245"/>
    <n v="2019"/>
    <s v="Tenant B"/>
    <n v="114874.32"/>
    <n v="82"/>
    <s v="Rural"/>
    <s v="AZ"/>
    <n v="35933.040000000001"/>
    <n v="875"/>
    <n v="225"/>
    <n v="7800"/>
    <n v="4.6067999999999998"/>
    <x v="2"/>
  </r>
  <r>
    <n v="159"/>
    <x v="1"/>
    <x v="2"/>
    <x v="1"/>
    <x v="5"/>
    <x v="2"/>
    <s v="Tenant D"/>
    <s v="25215.300000000003"/>
    <n v="0"/>
    <n v="83"/>
    <n v="268"/>
    <x v="0"/>
    <n v="82"/>
    <s v="Suburban"/>
    <s v="PA"/>
    <s v="SST"/>
    <n v="225"/>
    <n v="2020"/>
    <s v="Tenant A"/>
    <n v="115236.25"/>
    <n v="83"/>
    <s v="Rural"/>
    <s v="TX"/>
    <n v="24696.31"/>
    <n v="825"/>
    <n v="225"/>
    <n v="7200"/>
    <s v="3.4300430555555557"/>
    <x v="2"/>
  </r>
  <r>
    <n v="166"/>
    <x v="0"/>
    <x v="3"/>
    <x v="3"/>
    <x v="13"/>
    <x v="2"/>
    <s v="Tenant A"/>
    <n v="101584.8"/>
    <n v="0"/>
    <n v="84"/>
    <n v="210"/>
    <x v="0"/>
    <n v="82"/>
    <s v="Suburban"/>
    <s v="TX"/>
    <s v="Monopole"/>
    <n v="205"/>
    <n v="2019"/>
    <s v="Tenant D"/>
    <n v="117630.7"/>
    <n v="84"/>
    <s v="Suburban"/>
    <s v="FL"/>
    <n v="88603.839999999997"/>
    <n v="975"/>
    <n v="325"/>
    <n v="7800"/>
    <s v="11.359466666666666"/>
    <x v="1"/>
  </r>
  <r>
    <n v="190"/>
    <x v="2"/>
    <x v="4"/>
    <x v="1"/>
    <x v="12"/>
    <x v="2"/>
    <s v="Tenant A"/>
    <n v="87276.160000000003"/>
    <n v="0"/>
    <n v="85"/>
    <n v="469"/>
    <x v="0"/>
    <n v="82"/>
    <s v="Suburban"/>
    <s v="TX"/>
    <s v="Monopole"/>
    <n v="175"/>
    <n v="2022"/>
    <s v="Tenant B"/>
    <n v="118886.25"/>
    <n v="85"/>
    <s v="Rural"/>
    <s v="TX"/>
    <n v="36601.949999999997"/>
    <n v="975"/>
    <n v="325"/>
    <n v="7800"/>
    <s v="4.692557692307693"/>
    <x v="2"/>
  </r>
  <r>
    <n v="200"/>
    <x v="0"/>
    <x v="1"/>
    <x v="0"/>
    <x v="10"/>
    <x v="2"/>
    <s v="Tenant B"/>
    <n v="112470.6"/>
    <n v="0"/>
    <n v="86"/>
    <n v="341"/>
    <x v="0"/>
    <n v="82"/>
    <s v="Suburban"/>
    <s v="FL"/>
    <s v="SST"/>
    <n v="190"/>
    <n v="2021"/>
    <s v="Tenant D"/>
    <n v="120495.6"/>
    <n v="86"/>
    <s v="Suburban"/>
    <s v="PA"/>
    <n v="103158.64"/>
    <n v="875"/>
    <n v="400"/>
    <n v="5700"/>
    <s v="18.09800701754386"/>
    <x v="1"/>
  </r>
  <r>
    <n v="202"/>
    <x v="0"/>
    <x v="4"/>
    <x v="0"/>
    <x v="15"/>
    <x v="2"/>
    <s v="Tenant B"/>
    <n v="107986.44"/>
    <n v="0"/>
    <n v="87"/>
    <n v="435"/>
    <x v="0"/>
    <n v="82"/>
    <s v="Suburban"/>
    <s v="PA"/>
    <s v="SST"/>
    <n v="160"/>
    <n v="2022"/>
    <s v="Tenant C"/>
    <n v="121287.84"/>
    <n v="87"/>
    <s v="Rural"/>
    <s v="AZ"/>
    <n v="26408.17"/>
    <n v="975"/>
    <n v="350"/>
    <n v="7500"/>
    <s v="3.5210893333333337"/>
    <x v="2"/>
  </r>
  <r>
    <n v="219"/>
    <x v="1"/>
    <x v="4"/>
    <x v="0"/>
    <x v="16"/>
    <x v="2"/>
    <s v="Tenant D"/>
    <n v="31851.94"/>
    <n v="0"/>
    <n v="88"/>
    <n v="283"/>
    <x v="0"/>
    <n v="82"/>
    <s v="Suburban"/>
    <s v="FL"/>
    <s v="SST"/>
    <n v="185"/>
    <n v="2021"/>
    <s v="Tenant C"/>
    <n v="122922.96"/>
    <n v="88"/>
    <s v="Rural"/>
    <s v="TX"/>
    <n v="28656.66"/>
    <n v="950"/>
    <n v="300"/>
    <n v="7800"/>
    <s v="3.6739307692307697"/>
    <x v="2"/>
  </r>
  <r>
    <n v="221"/>
    <x v="1"/>
    <x v="1"/>
    <x v="0"/>
    <x v="18"/>
    <x v="2"/>
    <s v="Tenant A"/>
    <n v="31720.68"/>
    <n v="0"/>
    <n v="89"/>
    <n v="406"/>
    <x v="0"/>
    <n v="82"/>
    <s v="Suburban"/>
    <s v="OR"/>
    <s v="SST"/>
    <n v="195"/>
    <n v="2022"/>
    <s v="Tenant A"/>
    <n v="124720.77"/>
    <n v="89"/>
    <s v="Rural"/>
    <s v="OR"/>
    <n v="38249.4"/>
    <n v="875"/>
    <n v="200"/>
    <n v="8100"/>
    <s v="4.722148148148149"/>
    <x v="2"/>
  </r>
  <r>
    <n v="235"/>
    <x v="0"/>
    <x v="4"/>
    <x v="0"/>
    <x v="12"/>
    <x v="2"/>
    <s v="Tenant B"/>
    <n v="105589.78"/>
    <n v="0"/>
    <n v="90"/>
    <n v="471"/>
    <x v="0"/>
    <n v="82"/>
    <s v="Suburban"/>
    <s v="OR"/>
    <s v="SST"/>
    <n v="185"/>
    <n v="2022"/>
    <s v="Tenant D"/>
    <n v="133112.5"/>
    <n v="90"/>
    <s v="Rural"/>
    <s v="FL"/>
    <n v="40276.089999999997"/>
    <n v="950"/>
    <n v="350"/>
    <n v="7200"/>
    <n v="5.5939013888888898"/>
    <x v="0"/>
  </r>
  <r>
    <n v="236"/>
    <x v="2"/>
    <x v="3"/>
    <x v="0"/>
    <x v="17"/>
    <x v="2"/>
    <s v="Tenant A"/>
    <n v="107577.8"/>
    <n v="0"/>
    <n v="91"/>
    <n v="7"/>
    <x v="0"/>
    <n v="81"/>
    <s v="Suburban"/>
    <s v="AZ"/>
    <s v="SST"/>
    <n v="185"/>
    <n v="2017"/>
    <s v="Tenant B"/>
    <n v="82296"/>
    <n v="91"/>
    <s v="Suburban"/>
    <s v="FL"/>
    <n v="95193.63"/>
    <n v="875"/>
    <n v="250"/>
    <n v="7500"/>
    <n v="12.692484"/>
    <x v="1"/>
  </r>
  <r>
    <n v="242"/>
    <x v="2"/>
    <x v="1"/>
    <x v="2"/>
    <x v="27"/>
    <x v="2"/>
    <s v="Tenant C"/>
    <n v="100640.64"/>
    <n v="0"/>
    <n v="92"/>
    <n v="239"/>
    <x v="0"/>
    <n v="81"/>
    <s v="Urban"/>
    <s v="FL"/>
    <s v="SST"/>
    <n v="110"/>
    <n v="2019"/>
    <s v="Tenant D"/>
    <n v="90693"/>
    <n v="92"/>
    <s v="Rural"/>
    <s v="AZ"/>
    <n v="26047.67"/>
    <n v="975"/>
    <n v="325"/>
    <n v="7800"/>
    <s v="3.339444871794872"/>
    <x v="2"/>
  </r>
  <r>
    <n v="252"/>
    <x v="2"/>
    <x v="1"/>
    <x v="0"/>
    <x v="6"/>
    <x v="2"/>
    <s v="Tenant C"/>
    <n v="116251.26"/>
    <n v="0"/>
    <n v="93"/>
    <n v="220"/>
    <x v="0"/>
    <n v="80"/>
    <s v="Suburban"/>
    <s v="TX"/>
    <s v="SST"/>
    <n v="125"/>
    <n v="2019"/>
    <s v="Tenant B"/>
    <n v="93743.22"/>
    <n v="93"/>
    <s v="Suburban"/>
    <s v="PA"/>
    <n v="109950.88"/>
    <n v="950"/>
    <n v="425"/>
    <n v="6300"/>
    <s v="17.452520634920635"/>
    <x v="1"/>
  </r>
  <r>
    <n v="259"/>
    <x v="2"/>
    <x v="0"/>
    <x v="0"/>
    <x v="23"/>
    <x v="3"/>
    <s v="Tenant A"/>
    <n v="134545"/>
    <n v="0"/>
    <n v="94"/>
    <n v="124"/>
    <x v="0"/>
    <n v="80"/>
    <s v="Suburban"/>
    <s v="TX"/>
    <s v="SST"/>
    <n v="145"/>
    <n v="2019"/>
    <s v="Tenant B"/>
    <n v="100567.5"/>
    <n v="94"/>
    <s v="Rural"/>
    <s v="OR"/>
    <n v="21810.25"/>
    <n v="875"/>
    <n v="350"/>
    <n v="6300"/>
    <s v="3.4619444444444443"/>
    <x v="2"/>
  </r>
  <r>
    <n v="292"/>
    <x v="1"/>
    <x v="4"/>
    <x v="0"/>
    <x v="6"/>
    <x v="4"/>
    <s v="Tenant B"/>
    <n v="36832.800000000003"/>
    <n v="0"/>
    <n v="95"/>
    <n v="322"/>
    <x v="0"/>
    <n v="80"/>
    <s v="Suburban"/>
    <s v="OR"/>
    <s v="Monopole"/>
    <n v="200"/>
    <n v="2021"/>
    <s v="Tenant A"/>
    <n v="105723.6"/>
    <n v="95"/>
    <s v="Rural"/>
    <s v="PA"/>
    <s v="31161.620000000003"/>
    <n v="975"/>
    <n v="250"/>
    <n v="8700"/>
    <s v="3.5817954022988507"/>
    <x v="2"/>
  </r>
  <r>
    <n v="313"/>
    <x v="1"/>
    <x v="2"/>
    <x v="0"/>
    <x v="5"/>
    <x v="4"/>
    <s v="Tenant D"/>
    <n v="30336"/>
    <n v="0"/>
    <n v="96"/>
    <n v="304"/>
    <x v="0"/>
    <n v="80"/>
    <s v="Suburban"/>
    <s v="OR"/>
    <s v="Monopole"/>
    <n v="220"/>
    <n v="2021"/>
    <s v="Tenant B"/>
    <n v="107226"/>
    <n v="96"/>
    <s v="Suburban"/>
    <s v="AZ"/>
    <n v="112532.16"/>
    <n v="950"/>
    <n v="225"/>
    <n v="8700"/>
    <s v="12.93473103448276"/>
    <x v="1"/>
  </r>
  <r>
    <n v="315"/>
    <x v="1"/>
    <x v="3"/>
    <x v="1"/>
    <x v="5"/>
    <x v="4"/>
    <s v="Tenant C"/>
    <n v="35496"/>
    <n v="0"/>
    <n v="97"/>
    <n v="269"/>
    <x v="0"/>
    <n v="80"/>
    <s v="Suburban"/>
    <s v="AZ"/>
    <s v="SST"/>
    <n v="130"/>
    <n v="2020"/>
    <s v="Tenant C"/>
    <n v="107877.5"/>
    <n v="97"/>
    <s v="Rural"/>
    <s v="AZ"/>
    <n v="37352.699999999997"/>
    <n v="825"/>
    <n v="200"/>
    <n v="7500"/>
    <s v="4.980360000000001"/>
    <x v="2"/>
  </r>
  <r>
    <n v="347"/>
    <x v="0"/>
    <x v="3"/>
    <x v="0"/>
    <x v="19"/>
    <x v="4"/>
    <s v="Tenant D"/>
    <n v="104378.4"/>
    <n v="0"/>
    <n v="98"/>
    <n v="282"/>
    <x v="0"/>
    <n v="80"/>
    <s v="Suburban"/>
    <s v="PA"/>
    <s v="Monopole"/>
    <n v="215"/>
    <n v="2021"/>
    <s v="Tenant A"/>
    <n v="114954.42"/>
    <n v="98"/>
    <s v="Rural"/>
    <s v="AZ"/>
    <n v="37945.199999999997"/>
    <n v="975"/>
    <n v="325"/>
    <n v="7800"/>
    <s v="4.864769230769231"/>
    <x v="2"/>
  </r>
  <r>
    <n v="349"/>
    <x v="1"/>
    <x v="4"/>
    <x v="0"/>
    <x v="1"/>
    <x v="4"/>
    <s v="Tenant B"/>
    <n v="37940.400000000001"/>
    <n v="0"/>
    <n v="99"/>
    <n v="361"/>
    <x v="0"/>
    <n v="80"/>
    <s v="Suburban"/>
    <s v="PA"/>
    <s v="Monopole"/>
    <n v="210"/>
    <n v="2021"/>
    <s v="Tenant B"/>
    <n v="119652"/>
    <n v="99"/>
    <s v="Suburban"/>
    <s v="OR"/>
    <n v="94621.28"/>
    <n v="950"/>
    <n v="350"/>
    <n v="7200"/>
    <s v="13.141844444444445"/>
    <x v="1"/>
  </r>
  <r>
    <n v="350"/>
    <x v="1"/>
    <x v="3"/>
    <x v="0"/>
    <x v="17"/>
    <x v="4"/>
    <s v="Tenant A"/>
    <n v="27264"/>
    <n v="0"/>
    <n v="100"/>
    <n v="337"/>
    <x v="0"/>
    <n v="80"/>
    <s v="Suburban"/>
    <s v="FL"/>
    <s v="Monopole"/>
    <n v="220"/>
    <n v="2021"/>
    <s v="Tenant B"/>
    <n v="121363.2"/>
    <n v="100"/>
    <s v="Rural"/>
    <s v="TX"/>
    <s v="40964.560000000005"/>
    <n v="875"/>
    <m/>
    <n v="10500"/>
    <s v="3.9013866666666672"/>
    <x v="2"/>
  </r>
  <r>
    <n v="352"/>
    <x v="1"/>
    <x v="0"/>
    <x v="1"/>
    <x v="7"/>
    <x v="4"/>
    <s v="Tenant D"/>
    <s v="33214.799999999996"/>
    <n v="0"/>
    <n v="101"/>
    <n v="488"/>
    <x v="0"/>
    <n v="80"/>
    <s v="Suburban"/>
    <s v="FL"/>
    <s v="Monopole"/>
    <n v="245"/>
    <n v="2022"/>
    <s v="Tenant A"/>
    <n v="123923.75"/>
    <n v="101"/>
    <s v="Urban"/>
    <s v="FL"/>
    <n v="106028"/>
    <n v="1150"/>
    <n v="350"/>
    <n v="9600"/>
    <s v="11.044583333333334"/>
    <x v="1"/>
  </r>
  <r>
    <n v="356"/>
    <x v="1"/>
    <x v="4"/>
    <x v="1"/>
    <x v="8"/>
    <x v="4"/>
    <s v="Tenant B"/>
    <n v="38506.800000000003"/>
    <n v="0"/>
    <n v="102"/>
    <n v="476"/>
    <x v="0"/>
    <n v="80"/>
    <s v="Suburban"/>
    <s v="FL"/>
    <s v="Monopole"/>
    <n v="205"/>
    <n v="2022"/>
    <s v="Tenant B"/>
    <n v="129618.75"/>
    <n v="102"/>
    <s v="Suburban"/>
    <s v="PA"/>
    <n v="101430"/>
    <n v="975"/>
    <n v="150"/>
    <n v="9900"/>
    <s v="10.245454545454546"/>
    <x v="1"/>
  </r>
  <r>
    <n v="367"/>
    <x v="1"/>
    <x v="4"/>
    <x v="0"/>
    <x v="4"/>
    <x v="4"/>
    <s v="Tenant A"/>
    <n v="31366.799999999999"/>
    <n v="0"/>
    <n v="103"/>
    <n v="265"/>
    <x v="0"/>
    <n v="80"/>
    <s v="Suburban"/>
    <s v="TX"/>
    <s v="SST"/>
    <n v="145"/>
    <n v="2020"/>
    <s v="Tenant D"/>
    <n v="130821.25"/>
    <n v="103"/>
    <s v="Rural"/>
    <s v="OR"/>
    <n v="27925.360000000001"/>
    <n v="950"/>
    <n v="325"/>
    <n v="7500"/>
    <s v="3.723381333333333"/>
    <x v="2"/>
  </r>
  <r>
    <n v="376"/>
    <x v="1"/>
    <x v="3"/>
    <x v="1"/>
    <x v="19"/>
    <x v="4"/>
    <s v="Tenant A"/>
    <n v="35329.199999999997"/>
    <n v="0"/>
    <n v="104"/>
    <n v="457"/>
    <x v="0"/>
    <n v="80"/>
    <s v="Suburban"/>
    <s v="OR"/>
    <s v="Monopole"/>
    <n v="210"/>
    <n v="2022"/>
    <s v="Tenant B"/>
    <n v="131089.71"/>
    <n v="104"/>
    <s v="Suburban"/>
    <s v="AZ"/>
    <n v="86905.52"/>
    <n v="875"/>
    <n v="250"/>
    <n v="7500"/>
    <s v="11.587402666666668"/>
    <x v="1"/>
  </r>
  <r>
    <n v="382"/>
    <x v="1"/>
    <x v="2"/>
    <x v="0"/>
    <x v="5"/>
    <x v="4"/>
    <s v="Tenant B"/>
    <n v="37566"/>
    <n v="0"/>
    <n v="105"/>
    <n v="40"/>
    <x v="0"/>
    <n v="79"/>
    <s v="Suburban"/>
    <s v="FL"/>
    <s v="SST"/>
    <n v="210"/>
    <n v="2018"/>
    <s v="Tenant B"/>
    <n v="85397.52"/>
    <n v="105"/>
    <s v="Rural"/>
    <s v="PA"/>
    <n v="33072.9"/>
    <n v="825"/>
    <m/>
    <n v="9900"/>
    <s v="3.3406969696969697"/>
    <x v="2"/>
  </r>
  <r>
    <n v="405"/>
    <x v="2"/>
    <x v="4"/>
    <x v="0"/>
    <x v="21"/>
    <x v="5"/>
    <s v="Tenant B"/>
    <n v="129996.24"/>
    <n v="0"/>
    <n v="106"/>
    <n v="71"/>
    <x v="0"/>
    <n v="79"/>
    <s v="Suburban"/>
    <s v="TX"/>
    <s v="Monopole"/>
    <n v="205"/>
    <n v="2018"/>
    <s v="Tenant A"/>
    <n v="85768.1"/>
    <n v="106"/>
    <s v="Suburban"/>
    <s v="FL"/>
    <n v="106111.63"/>
    <n v="950"/>
    <n v="300"/>
    <n v="7800"/>
    <s v="13.604055128205127"/>
    <x v="1"/>
  </r>
  <r>
    <n v="409"/>
    <x v="1"/>
    <x v="2"/>
    <x v="0"/>
    <x v="0"/>
    <x v="5"/>
    <s v="Tenant D"/>
    <n v="37256.699999999997"/>
    <n v="0"/>
    <n v="107"/>
    <n v="158"/>
    <x v="0"/>
    <n v="79"/>
    <s v="Suburban"/>
    <s v="FL"/>
    <s v="SST"/>
    <n v="195"/>
    <n v="2019"/>
    <s v="Tenant D"/>
    <s v="87548.04000000001"/>
    <n v="107"/>
    <s v="Rural"/>
    <s v="TX"/>
    <n v="32906.639999999999"/>
    <n v="875"/>
    <n v="275"/>
    <n v="7200"/>
    <s v="4.570366666666667"/>
    <x v="2"/>
  </r>
  <r>
    <n v="410"/>
    <x v="0"/>
    <x v="2"/>
    <x v="1"/>
    <x v="5"/>
    <x v="5"/>
    <s v="Tenant A"/>
    <n v="126424.32000000001"/>
    <n v="0"/>
    <n v="108"/>
    <n v="238"/>
    <x v="0"/>
    <n v="79"/>
    <s v="Suburban"/>
    <s v="OR"/>
    <s v="SST"/>
    <n v="170"/>
    <n v="2019"/>
    <s v="Tenant A"/>
    <n v="91218.96"/>
    <n v="108"/>
    <s v="Rural"/>
    <s v="FL"/>
    <n v="37694.910000000003"/>
    <n v="875"/>
    <n v="150"/>
    <n v="8700"/>
    <n v="4.3327482758620697"/>
    <x v="2"/>
  </r>
  <r>
    <n v="412"/>
    <x v="1"/>
    <x v="4"/>
    <x v="0"/>
    <x v="25"/>
    <x v="5"/>
    <s v="Tenant B"/>
    <n v="37924.589999999997"/>
    <n v="0"/>
    <n v="109"/>
    <n v="137"/>
    <x v="0"/>
    <n v="79"/>
    <s v="Suburban"/>
    <s v="OR"/>
    <s v="SST"/>
    <n v="170"/>
    <n v="2019"/>
    <s v="Tenant B"/>
    <n v="91494.36"/>
    <n v="109"/>
    <s v="Urban"/>
    <s v="FL"/>
    <n v="82589.52"/>
    <n v="875"/>
    <n v="400"/>
    <n v="5700"/>
    <s v="14.489389473684213"/>
    <x v="1"/>
  </r>
  <r>
    <n v="425"/>
    <x v="2"/>
    <x v="1"/>
    <x v="1"/>
    <x v="19"/>
    <x v="5"/>
    <s v="Tenant A"/>
    <n v="123644.52"/>
    <n v="0"/>
    <n v="110"/>
    <n v="125"/>
    <x v="0"/>
    <n v="79"/>
    <s v="Suburban"/>
    <s v="FL"/>
    <s v="SST"/>
    <n v="165"/>
    <n v="2019"/>
    <s v="Tenant B"/>
    <n v="91581.88"/>
    <n v="110"/>
    <s v="Suburban"/>
    <s v="TX"/>
    <n v="83491.8"/>
    <n v="950"/>
    <n v="400"/>
    <n v="6600"/>
    <s v="12.650272727272728"/>
    <x v="1"/>
  </r>
  <r>
    <n v="426"/>
    <x v="2"/>
    <x v="2"/>
    <x v="0"/>
    <x v="0"/>
    <x v="5"/>
    <s v="Tenant B"/>
    <n v="124918.8"/>
    <n v="0"/>
    <n v="111"/>
    <n v="180"/>
    <x v="0"/>
    <n v="79"/>
    <s v="Suburban"/>
    <s v="OR"/>
    <s v="SST"/>
    <n v="160"/>
    <n v="2019"/>
    <s v="Tenant A"/>
    <n v="93024.8"/>
    <n v="111"/>
    <s v="Suburban"/>
    <s v="OR"/>
    <n v="108838.8"/>
    <n v="825"/>
    <n v="275"/>
    <n v="6600"/>
    <s v="16.490727272727273"/>
    <x v="1"/>
  </r>
  <r>
    <n v="430"/>
    <x v="1"/>
    <x v="4"/>
    <x v="0"/>
    <x v="5"/>
    <x v="5"/>
    <s v="Tenant A"/>
    <n v="43512.480000000003"/>
    <n v="0"/>
    <n v="112"/>
    <n v="91"/>
    <x v="0"/>
    <n v="79"/>
    <s v="Suburban"/>
    <s v="FL"/>
    <s v="SST"/>
    <n v="210"/>
    <n v="2018"/>
    <s v="Tenant B"/>
    <n v="95193.63"/>
    <n v="112"/>
    <s v="Suburban"/>
    <s v="PA"/>
    <n v="108379.69"/>
    <n v="975"/>
    <n v="275"/>
    <n v="8400"/>
    <s v="12.902344047619048"/>
    <x v="1"/>
  </r>
  <r>
    <n v="436"/>
    <x v="0"/>
    <x v="0"/>
    <x v="1"/>
    <x v="8"/>
    <x v="5"/>
    <s v="Tenant C"/>
    <n v="116604"/>
    <n v="0"/>
    <n v="113"/>
    <n v="76"/>
    <x v="0"/>
    <n v="79"/>
    <s v="Suburban"/>
    <s v="OR"/>
    <s v="SST"/>
    <n v="215"/>
    <n v="2018"/>
    <s v="Tenant A"/>
    <n v="96011.45"/>
    <n v="113"/>
    <s v="Suburban"/>
    <s v="OR"/>
    <n v="94965.15"/>
    <n v="950"/>
    <n v="300"/>
    <n v="7800"/>
    <s v="12.175019230769232"/>
    <x v="1"/>
  </r>
  <r>
    <n v="437"/>
    <x v="1"/>
    <x v="1"/>
    <x v="0"/>
    <x v="25"/>
    <x v="5"/>
    <s v="Tenant A"/>
    <n v="38195.19"/>
    <n v="0"/>
    <n v="114"/>
    <n v="144"/>
    <x v="0"/>
    <n v="79"/>
    <s v="Suburban"/>
    <s v="OR"/>
    <s v="SST"/>
    <n v="185"/>
    <n v="2019"/>
    <s v="Tenant D"/>
    <n v="96296.76"/>
    <n v="114"/>
    <s v="Suburban"/>
    <s v="TX"/>
    <n v="101104.8"/>
    <n v="975"/>
    <n v="350"/>
    <n v="7500"/>
    <n v="13.480639999999999"/>
    <x v="1"/>
  </r>
  <r>
    <n v="443"/>
    <x v="1"/>
    <x v="2"/>
    <x v="1"/>
    <x v="13"/>
    <x v="5"/>
    <s v="Tenant C"/>
    <n v="32262.9"/>
    <n v="0"/>
    <n v="115"/>
    <n v="175"/>
    <x v="0"/>
    <n v="79"/>
    <s v="Suburban"/>
    <s v="AZ"/>
    <s v="Monopole"/>
    <n v="170"/>
    <n v="2019"/>
    <s v="Tenant B"/>
    <n v="96691.32"/>
    <n v="115"/>
    <s v="Rural"/>
    <s v="PA"/>
    <n v="35494.160000000003"/>
    <n v="975"/>
    <n v="150"/>
    <n v="9900"/>
    <s v="3.5852686868686874"/>
    <x v="2"/>
  </r>
  <r>
    <n v="444"/>
    <x v="1"/>
    <x v="0"/>
    <x v="0"/>
    <x v="29"/>
    <x v="5"/>
    <s v="Tenant A"/>
    <n v="47862.99"/>
    <n v="0"/>
    <n v="116"/>
    <n v="15"/>
    <x v="0"/>
    <n v="79"/>
    <s v="Suburban"/>
    <s v="AZ"/>
    <s v="Monopole"/>
    <n v="240"/>
    <n v="2017"/>
    <s v="Tenant C"/>
    <n v="102348"/>
    <n v="116"/>
    <s v="Suburban"/>
    <s v="FL"/>
    <n v="89028.160000000003"/>
    <n v="950"/>
    <n v="275"/>
    <n v="8100"/>
    <s v="10.991130864197531"/>
    <x v="1"/>
  </r>
  <r>
    <n v="450"/>
    <x v="0"/>
    <x v="4"/>
    <x v="1"/>
    <x v="18"/>
    <x v="5"/>
    <s v="Tenant B"/>
    <n v="100376.61"/>
    <n v="0"/>
    <n v="117"/>
    <n v="205"/>
    <x v="0"/>
    <n v="79"/>
    <s v="Suburban"/>
    <s v="AZ"/>
    <s v="Monopole"/>
    <n v="190"/>
    <n v="2019"/>
    <s v="Tenant C"/>
    <n v="108537.64"/>
    <n v="117"/>
    <s v="Rural"/>
    <s v="OR"/>
    <n v="35308.35"/>
    <n v="825"/>
    <n v="325"/>
    <n v="6000"/>
    <s v="5.8847249999999995"/>
    <x v="0"/>
  </r>
  <r>
    <n v="458"/>
    <x v="1"/>
    <x v="0"/>
    <x v="0"/>
    <x v="7"/>
    <x v="5"/>
    <s v="Tenant C"/>
    <n v="34838.519999999997"/>
    <n v="0"/>
    <n v="118"/>
    <n v="181"/>
    <x v="0"/>
    <n v="79"/>
    <s v="Suburban"/>
    <s v="OR"/>
    <s v="SST"/>
    <n v="180"/>
    <n v="2019"/>
    <s v="Tenant B"/>
    <n v="109395.18"/>
    <n v="118"/>
    <s v="Rural"/>
    <s v="PA"/>
    <s v="26424.300000000003"/>
    <n v="950"/>
    <n v="325"/>
    <n v="7500"/>
    <s v="3.5232400000000004"/>
    <x v="2"/>
  </r>
  <r>
    <n v="498"/>
    <x v="1"/>
    <x v="2"/>
    <x v="3"/>
    <x v="5"/>
    <x v="5"/>
    <s v="Tenant A"/>
    <n v="35860"/>
    <n v="0"/>
    <n v="119"/>
    <n v="79"/>
    <x v="0"/>
    <n v="79"/>
    <s v="Suburban"/>
    <s v="TX"/>
    <s v="Monopole"/>
    <n v="200"/>
    <n v="2018"/>
    <s v="Tenant C"/>
    <n v="110904.15"/>
    <n v="119"/>
    <s v="Rural"/>
    <s v="AZ"/>
    <n v="37741.599999999999"/>
    <n v="875"/>
    <n v="200"/>
    <n v="8100"/>
    <s v="4.659456790123457"/>
    <x v="2"/>
  </r>
  <r>
    <n v="500"/>
    <x v="2"/>
    <x v="1"/>
    <x v="0"/>
    <x v="10"/>
    <x v="5"/>
    <s v="Tenant B"/>
    <n v="121382.5"/>
    <n v="0"/>
    <n v="120"/>
    <n v="385"/>
    <x v="0"/>
    <n v="79"/>
    <s v="Suburban"/>
    <s v="AZ"/>
    <s v="SST"/>
    <n v="100"/>
    <n v="2021"/>
    <s v="Tenant A"/>
    <n v="111139.2"/>
    <n v="120"/>
    <s v="Rural"/>
    <s v="PA"/>
    <n v="37476.6"/>
    <n v="875"/>
    <n v="275"/>
    <n v="7200"/>
    <s v="5.2050833333333335"/>
    <x v="0"/>
  </r>
  <r>
    <n v="8"/>
    <x v="0"/>
    <x v="0"/>
    <x v="0"/>
    <x v="31"/>
    <x v="0"/>
    <s v="Tenant C"/>
    <n v="87868"/>
    <n v="0"/>
    <n v="121"/>
    <n v="200"/>
    <x v="0"/>
    <n v="79"/>
    <s v="Suburban"/>
    <s v="FL"/>
    <s v="SST"/>
    <n v="170"/>
    <n v="2019"/>
    <s v="Tenant B"/>
    <n v="112470.6"/>
    <n v="121"/>
    <s v="Rural"/>
    <s v="PA"/>
    <n v="37370.300000000003"/>
    <n v="825"/>
    <n v="325"/>
    <n v="6000"/>
    <s v="6.228383333333333"/>
    <x v="0"/>
  </r>
  <r>
    <n v="50"/>
    <x v="0"/>
    <x v="1"/>
    <x v="0"/>
    <x v="1"/>
    <x v="1"/>
    <s v="Tenant A"/>
    <n v="105296.1"/>
    <n v="0"/>
    <n v="122"/>
    <n v="165"/>
    <x v="0"/>
    <n v="79"/>
    <s v="Suburban"/>
    <s v="FL"/>
    <s v="SST"/>
    <n v="160"/>
    <n v="2019"/>
    <s v="Tenant C"/>
    <n v="112656.96000000001"/>
    <n v="122"/>
    <s v="Suburban"/>
    <s v="FL"/>
    <n v="102498"/>
    <n v="975"/>
    <n v="350"/>
    <n v="7500"/>
    <n v="13.666399999999999"/>
    <x v="1"/>
  </r>
  <r>
    <n v="58"/>
    <x v="2"/>
    <x v="2"/>
    <x v="0"/>
    <x v="19"/>
    <x v="1"/>
    <s v="Tenant A"/>
    <n v="99344.53"/>
    <n v="0"/>
    <n v="123"/>
    <n v="207"/>
    <x v="0"/>
    <n v="79"/>
    <s v="Suburban"/>
    <s v="PA"/>
    <s v="SST"/>
    <n v="180"/>
    <n v="2019"/>
    <s v="Tenant D"/>
    <n v="115989.5"/>
    <n v="123"/>
    <s v="Rural"/>
    <s v="TX"/>
    <s v="35134.560000000005"/>
    <n v="950"/>
    <n v="150"/>
    <n v="9600"/>
    <s v="3.659850000000001"/>
    <x v="2"/>
  </r>
  <r>
    <n v="70"/>
    <x v="0"/>
    <x v="3"/>
    <x v="1"/>
    <x v="10"/>
    <x v="1"/>
    <s v="Tenant D"/>
    <n v="90702.83"/>
    <n v="0"/>
    <n v="124"/>
    <n v="174"/>
    <x v="0"/>
    <n v="79"/>
    <s v="Suburban"/>
    <s v="AZ"/>
    <s v="Monopole"/>
    <n v="160"/>
    <n v="2019"/>
    <s v="Tenant C"/>
    <n v="116846.28"/>
    <n v="124"/>
    <s v="Suburban"/>
    <s v="TX"/>
    <n v="100567.5"/>
    <n v="875"/>
    <n v="275"/>
    <n v="7200"/>
    <s v="13.967708333333333"/>
    <x v="1"/>
  </r>
  <r>
    <n v="91"/>
    <x v="0"/>
    <x v="1"/>
    <x v="0"/>
    <x v="2"/>
    <x v="1"/>
    <s v="Tenant B"/>
    <n v="95193.63"/>
    <n v="0"/>
    <n v="125"/>
    <n v="301"/>
    <x v="0"/>
    <n v="79"/>
    <s v="Suburban"/>
    <s v="TX"/>
    <s v="SST"/>
    <n v="110"/>
    <n v="2021"/>
    <s v="Tenant D"/>
    <n v="120549.6"/>
    <n v="125"/>
    <s v="Suburban"/>
    <s v="FL"/>
    <n v="91581.88"/>
    <n v="875"/>
    <n v="200"/>
    <n v="8100"/>
    <s v="11.306404938271603"/>
    <x v="1"/>
  </r>
  <r>
    <n v="92"/>
    <x v="1"/>
    <x v="0"/>
    <x v="1"/>
    <x v="26"/>
    <x v="1"/>
    <s v="Tenant C"/>
    <n v="26047.67"/>
    <n v="0"/>
    <n v="126"/>
    <n v="479"/>
    <x v="0"/>
    <n v="79"/>
    <s v="Suburban"/>
    <s v="TX"/>
    <s v="SST"/>
    <n v="115"/>
    <n v="2022"/>
    <s v="Tenant A"/>
    <n v="120790"/>
    <n v="126"/>
    <s v="Rural"/>
    <s v="TX"/>
    <n v="34934.42"/>
    <n v="825"/>
    <n v="350"/>
    <n v="5700"/>
    <s v="6.128845614035088"/>
    <x v="0"/>
  </r>
  <r>
    <n v="94"/>
    <x v="1"/>
    <x v="3"/>
    <x v="1"/>
    <x v="7"/>
    <x v="1"/>
    <s v="Tenant B"/>
    <n v="21810.25"/>
    <n v="0"/>
    <n v="127"/>
    <n v="299"/>
    <x v="0"/>
    <n v="79"/>
    <s v="Suburban"/>
    <s v="AZ"/>
    <s v="SST"/>
    <n v="105"/>
    <n v="2021"/>
    <s v="Tenant B"/>
    <n v="121714.8"/>
    <n v="127"/>
    <s v="Rural"/>
    <s v="PA"/>
    <n v="28017.919999999998"/>
    <n v="825"/>
    <n v="375"/>
    <n v="5400"/>
    <s v="5.188503703703704"/>
    <x v="0"/>
  </r>
  <r>
    <n v="102"/>
    <x v="0"/>
    <x v="2"/>
    <x v="1"/>
    <x v="24"/>
    <x v="1"/>
    <s v="Tenant C"/>
    <n v="101430"/>
    <n v="0"/>
    <n v="128"/>
    <n v="276"/>
    <x v="0"/>
    <n v="79"/>
    <s v="Suburban"/>
    <s v="FL"/>
    <s v="SST"/>
    <n v="195"/>
    <n v="2020"/>
    <s v="Tenant D"/>
    <n v="122871.25"/>
    <n v="128"/>
    <s v="Rural"/>
    <s v="FL"/>
    <s v="36090.880000000005"/>
    <n v="825"/>
    <n v="325"/>
    <n v="6000"/>
    <s v="6.015146666666667"/>
    <x v="0"/>
  </r>
  <r>
    <n v="109"/>
    <x v="2"/>
    <x v="1"/>
    <x v="0"/>
    <x v="12"/>
    <x v="1"/>
    <s v="Tenant B"/>
    <n v="82589.52"/>
    <n v="0"/>
    <n v="129"/>
    <n v="260"/>
    <x v="0"/>
    <n v="79"/>
    <s v="Suburban"/>
    <s v="FL"/>
    <s v="SST"/>
    <n v="160"/>
    <n v="2020"/>
    <s v="Tenant A"/>
    <n v="134225"/>
    <n v="129"/>
    <s v="Suburban"/>
    <s v="TX"/>
    <n v="85940.56"/>
    <n v="875"/>
    <n v="400"/>
    <n v="5700"/>
    <s v="15.077291228070177"/>
    <x v="1"/>
  </r>
  <r>
    <n v="110"/>
    <x v="0"/>
    <x v="4"/>
    <x v="0"/>
    <x v="9"/>
    <x v="1"/>
    <s v="Tenant A"/>
    <n v="83491.8"/>
    <n v="0"/>
    <n v="130"/>
    <n v="302"/>
    <x v="0"/>
    <n v="78"/>
    <s v="Suburban"/>
    <s v="OR"/>
    <s v="SST"/>
    <n v="155"/>
    <n v="2021"/>
    <s v="Tenant A"/>
    <n v="97730.4"/>
    <n v="130"/>
    <s v="Urban"/>
    <s v="OR"/>
    <n v="95341.7"/>
    <n v="975"/>
    <n v="375"/>
    <n v="7200"/>
    <s v="13.24190277777778"/>
    <x v="1"/>
  </r>
  <r>
    <n v="121"/>
    <x v="1"/>
    <x v="2"/>
    <x v="0"/>
    <x v="11"/>
    <x v="2"/>
    <s v="Tenant D"/>
    <n v="37370.300000000003"/>
    <n v="0"/>
    <n v="131"/>
    <n v="450"/>
    <x v="0"/>
    <n v="78"/>
    <s v="Suburban"/>
    <s v="TX"/>
    <s v="Monopole"/>
    <n v="145"/>
    <n v="2022"/>
    <s v="Tenant B"/>
    <n v="100376.61"/>
    <n v="131"/>
    <s v="Suburban"/>
    <s v="TX"/>
    <n v="116247.96"/>
    <n v="825"/>
    <n v="350"/>
    <n v="5700"/>
    <s v="20.394378947368423"/>
    <x v="1"/>
  </r>
  <r>
    <n v="142"/>
    <x v="0"/>
    <x v="3"/>
    <x v="1"/>
    <x v="15"/>
    <x v="2"/>
    <s v="Tenant A"/>
    <n v="104130.16"/>
    <n v="0"/>
    <n v="132"/>
    <n v="446"/>
    <x v="0"/>
    <n v="78"/>
    <s v="Suburban"/>
    <s v="OR"/>
    <s v="SST"/>
    <n v="145"/>
    <n v="2022"/>
    <s v="Tenant A"/>
    <n v="101815.71"/>
    <n v="132"/>
    <s v="Rural"/>
    <s v="OR"/>
    <n v="31024.080000000002"/>
    <n v="950"/>
    <n v="275"/>
    <n v="8100"/>
    <s v="3.8301333333333334"/>
    <x v="2"/>
  </r>
  <r>
    <n v="144"/>
    <x v="0"/>
    <x v="3"/>
    <x v="0"/>
    <x v="0"/>
    <x v="2"/>
    <s v="Tenant D"/>
    <n v="96296.76"/>
    <n v="0"/>
    <n v="133"/>
    <n v="453"/>
    <x v="0"/>
    <n v="78"/>
    <s v="Suburban"/>
    <s v="FL"/>
    <s v="SST"/>
    <n v="135"/>
    <n v="2022"/>
    <s v="Tenant A"/>
    <n v="110011.2"/>
    <n v="133"/>
    <s v="Urban"/>
    <s v="OR"/>
    <n v="107933.44"/>
    <n v="875"/>
    <n v="400"/>
    <n v="5700"/>
    <s v="18.935691228070176"/>
    <x v="1"/>
  </r>
  <r>
    <n v="155"/>
    <x v="0"/>
    <x v="0"/>
    <x v="1"/>
    <x v="31"/>
    <x v="2"/>
    <s v="Tenant C"/>
    <n v="103926.64"/>
    <n v="0"/>
    <n v="134"/>
    <n v="334"/>
    <x v="0"/>
    <n v="78"/>
    <s v="Suburban"/>
    <s v="OR"/>
    <s v="SST"/>
    <n v="150"/>
    <n v="2021"/>
    <s v="Tenant B"/>
    <n v="112645.2"/>
    <n v="134"/>
    <s v="Suburban"/>
    <s v="AZ"/>
    <n v="103370.04"/>
    <n v="825"/>
    <n v="325"/>
    <n v="6000"/>
    <s v="17.228340000000003"/>
    <x v="1"/>
  </r>
  <r>
    <n v="170"/>
    <x v="1"/>
    <x v="1"/>
    <x v="0"/>
    <x v="3"/>
    <x v="2"/>
    <s v="Tenant D"/>
    <s v="30138.480000000003"/>
    <n v="0"/>
    <n v="135"/>
    <n v="477"/>
    <x v="0"/>
    <n v="78"/>
    <s v="Suburban"/>
    <s v="OR"/>
    <s v="SST"/>
    <n v="155"/>
    <n v="2022"/>
    <s v="Tenant B"/>
    <n v="113855"/>
    <n v="135"/>
    <s v="Rural"/>
    <s v="TX"/>
    <n v="42961.32"/>
    <n v="825"/>
    <n v="275"/>
    <n v="6600"/>
    <s v="6.509290909090909"/>
    <x v="0"/>
  </r>
  <r>
    <n v="171"/>
    <x v="1"/>
    <x v="4"/>
    <x v="0"/>
    <x v="1"/>
    <x v="2"/>
    <s v="Tenant A"/>
    <n v="35468.400000000001"/>
    <n v="0"/>
    <n v="136"/>
    <n v="281"/>
    <x v="0"/>
    <n v="78"/>
    <s v="Suburban"/>
    <s v="FL"/>
    <s v="SST"/>
    <n v="130"/>
    <n v="2021"/>
    <s v="Tenant B"/>
    <n v="127181.58"/>
    <n v="136"/>
    <s v="Suburban"/>
    <s v="OR"/>
    <n v="106728.6"/>
    <n v="875"/>
    <m/>
    <n v="10500"/>
    <s v="10.164628571428572"/>
    <x v="1"/>
  </r>
  <r>
    <n v="173"/>
    <x v="2"/>
    <x v="3"/>
    <x v="0"/>
    <x v="27"/>
    <x v="2"/>
    <s v="Tenant C"/>
    <n v="116568.2"/>
    <n v="0"/>
    <n v="137"/>
    <n v="330"/>
    <x v="0"/>
    <n v="78"/>
    <s v="Suburban"/>
    <s v="FL"/>
    <s v="SST"/>
    <n v="125"/>
    <n v="2021"/>
    <s v="Tenant C"/>
    <n v="131312.4"/>
    <n v="137"/>
    <s v="Suburban"/>
    <s v="OR"/>
    <n v="91494.36"/>
    <n v="875"/>
    <n v="325"/>
    <n v="6600"/>
    <s v="13.862781818181816"/>
    <x v="1"/>
  </r>
  <r>
    <n v="192"/>
    <x v="1"/>
    <x v="3"/>
    <x v="0"/>
    <x v="9"/>
    <x v="2"/>
    <s v="Tenant A"/>
    <n v="30542.84"/>
    <n v="0"/>
    <n v="138"/>
    <n v="487"/>
    <x v="0"/>
    <n v="78"/>
    <s v="Suburban"/>
    <s v="FL"/>
    <s v="SST"/>
    <n v="135"/>
    <n v="2022"/>
    <s v="Tenant B"/>
    <n v="133226.25"/>
    <n v="138"/>
    <s v="Suburban"/>
    <s v="TX"/>
    <n v="92045.16"/>
    <n v="950"/>
    <m/>
    <n v="11400"/>
    <s v="8.074136842105263"/>
    <x v="0"/>
  </r>
  <r>
    <n v="205"/>
    <x v="0"/>
    <x v="0"/>
    <x v="1"/>
    <x v="22"/>
    <x v="2"/>
    <s v="Tenant C"/>
    <n v="108537.64"/>
    <n v="0"/>
    <n v="139"/>
    <n v="110"/>
    <x v="0"/>
    <n v="77"/>
    <s v="Suburban"/>
    <s v="TX"/>
    <s v="SST"/>
    <n v="135"/>
    <n v="2018"/>
    <s v="Tenant A"/>
    <n v="83491.8"/>
    <n v="139"/>
    <s v="Urban"/>
    <s v="TX"/>
    <n v="85658.6"/>
    <n v="975"/>
    <n v="425"/>
    <n v="6600"/>
    <s v="12.978575757575758"/>
    <x v="1"/>
  </r>
  <r>
    <n v="210"/>
    <x v="0"/>
    <x v="4"/>
    <x v="1"/>
    <x v="12"/>
    <x v="2"/>
    <s v="Tenant D"/>
    <n v="117630.7"/>
    <n v="0"/>
    <n v="140"/>
    <n v="64"/>
    <x v="0"/>
    <n v="77"/>
    <s v="Suburban"/>
    <s v="AZ"/>
    <s v="SST"/>
    <n v="125"/>
    <n v="2018"/>
    <s v="Tenant C"/>
    <n v="85485.92"/>
    <n v="140"/>
    <s v="Rural"/>
    <s v="AZ"/>
    <n v="31352.68"/>
    <n v="975"/>
    <n v="175"/>
    <n v="9600"/>
    <s v="3.2659041666666666"/>
    <x v="2"/>
  </r>
  <r>
    <n v="220"/>
    <x v="0"/>
    <x v="4"/>
    <x v="0"/>
    <x v="31"/>
    <x v="2"/>
    <s v="Tenant B"/>
    <n v="93743.22"/>
    <n v="0"/>
    <n v="141"/>
    <n v="8"/>
    <x v="0"/>
    <n v="77"/>
    <s v="Suburban"/>
    <s v="AZ"/>
    <s v="SST"/>
    <n v="125"/>
    <n v="2017"/>
    <s v="Tenant C"/>
    <n v="87868"/>
    <n v="141"/>
    <s v="Rural"/>
    <s v="PA"/>
    <s v="24252.800000000003"/>
    <n v="825"/>
    <n v="325"/>
    <n v="6000"/>
    <s v="4.042133333333334"/>
    <x v="2"/>
  </r>
  <r>
    <n v="238"/>
    <x v="0"/>
    <x v="3"/>
    <x v="0"/>
    <x v="10"/>
    <x v="2"/>
    <s v="Tenant A"/>
    <n v="91218.96"/>
    <n v="0"/>
    <n v="142"/>
    <n v="35"/>
    <x v="0"/>
    <n v="77"/>
    <s v="Suburban"/>
    <s v="TX"/>
    <s v="SST"/>
    <n v="145"/>
    <n v="2017"/>
    <s v="Tenant C"/>
    <n v="90675"/>
    <n v="142"/>
    <s v="Suburban"/>
    <s v="OR"/>
    <n v="104130.16"/>
    <n v="950"/>
    <n v="325"/>
    <n v="7500"/>
    <s v="13.884021333333331"/>
    <x v="1"/>
  </r>
  <r>
    <n v="240"/>
    <x v="1"/>
    <x v="3"/>
    <x v="1"/>
    <x v="16"/>
    <x v="2"/>
    <s v="Tenant A"/>
    <n v="35835.42"/>
    <n v="0"/>
    <n v="143"/>
    <n v="300"/>
    <x v="0"/>
    <n v="77"/>
    <s v="Suburban"/>
    <s v="FL"/>
    <s v="Monopole"/>
    <n v="190"/>
    <n v="2021"/>
    <s v="Tenant C"/>
    <n v="98055.6"/>
    <n v="143"/>
    <s v="Rural"/>
    <s v="PA"/>
    <n v="40195.440000000002"/>
    <n v="875"/>
    <n v="325"/>
    <n v="6600"/>
    <s v="6.090218181818182"/>
    <x v="0"/>
  </r>
  <r>
    <n v="244"/>
    <x v="1"/>
    <x v="4"/>
    <x v="0"/>
    <x v="8"/>
    <x v="2"/>
    <s v="Tenant C"/>
    <n v="41961.16"/>
    <n v="0"/>
    <n v="144"/>
    <n v="355"/>
    <x v="0"/>
    <n v="77"/>
    <s v="Suburban"/>
    <s v="OR"/>
    <s v="Monopole"/>
    <n v="195"/>
    <n v="2021"/>
    <s v="Tenant A"/>
    <n v="98618.4"/>
    <n v="144"/>
    <s v="Suburban"/>
    <s v="OR"/>
    <n v="96296.76"/>
    <n v="825"/>
    <n v="325"/>
    <n v="6000"/>
    <n v="16.04946"/>
    <x v="1"/>
  </r>
  <r>
    <n v="250"/>
    <x v="0"/>
    <x v="0"/>
    <x v="1"/>
    <x v="13"/>
    <x v="2"/>
    <s v="Tenant B"/>
    <n v="107901.72"/>
    <n v="0"/>
    <n v="145"/>
    <n v="327"/>
    <x v="0"/>
    <n v="77"/>
    <s v="Suburban"/>
    <s v="FL"/>
    <s v="Monopole"/>
    <n v="175"/>
    <n v="2021"/>
    <s v="Tenant C"/>
    <n v="103276.8"/>
    <n v="145"/>
    <s v="Rural"/>
    <s v="FL"/>
    <n v="28924.22"/>
    <n v="875"/>
    <n v="325"/>
    <n v="6600"/>
    <s v="4.382457575757576"/>
    <x v="2"/>
  </r>
  <r>
    <n v="267"/>
    <x v="1"/>
    <x v="3"/>
    <x v="0"/>
    <x v="16"/>
    <x v="3"/>
    <s v="Tenant C"/>
    <n v="38785"/>
    <n v="0"/>
    <n v="146"/>
    <n v="178"/>
    <x v="0"/>
    <n v="77"/>
    <s v="Suburban"/>
    <s v="OR"/>
    <s v="Monopole"/>
    <n v="205"/>
    <n v="2019"/>
    <s v="Tenant C"/>
    <n v="108794.88"/>
    <n v="146"/>
    <s v="Rural"/>
    <s v="OR"/>
    <n v="27133.88"/>
    <n v="950"/>
    <n v="250"/>
    <n v="8400"/>
    <n v="3.2302238095238098"/>
    <x v="2"/>
  </r>
  <r>
    <n v="269"/>
    <x v="0"/>
    <x v="0"/>
    <x v="0"/>
    <x v="30"/>
    <x v="3"/>
    <s v="Tenant C"/>
    <n v="107877.5"/>
    <n v="0"/>
    <n v="147"/>
    <n v="489"/>
    <x v="0"/>
    <n v="77"/>
    <s v="Suburban"/>
    <s v="PA"/>
    <s v="Monopole"/>
    <n v="160"/>
    <n v="2022"/>
    <s v="Tenant C"/>
    <n v="113731.25"/>
    <n v="147"/>
    <s v="Rural"/>
    <s v="TX"/>
    <n v="28147.9"/>
    <n v="875"/>
    <n v="350"/>
    <n v="6300"/>
    <s v="4.4679206349206355"/>
    <x v="2"/>
  </r>
  <r>
    <n v="272"/>
    <x v="1"/>
    <x v="4"/>
    <x v="0"/>
    <x v="4"/>
    <x v="3"/>
    <s v="Tenant C"/>
    <n v="39625"/>
    <n v="0"/>
    <n v="148"/>
    <n v="348"/>
    <x v="0"/>
    <n v="77"/>
    <s v="Suburban"/>
    <s v="FL"/>
    <s v="Monopole"/>
    <n v="185"/>
    <n v="2021"/>
    <s v="Tenant C"/>
    <n v="123667.2"/>
    <n v="148"/>
    <s v="Rural"/>
    <s v="AZ"/>
    <n v="39775.32"/>
    <n v="975"/>
    <n v="175"/>
    <n v="9600"/>
    <n v="4.1432624999999996"/>
    <x v="2"/>
  </r>
  <r>
    <n v="299"/>
    <x v="0"/>
    <x v="0"/>
    <x v="0"/>
    <x v="26"/>
    <x v="4"/>
    <s v="Tenant B"/>
    <n v="121714.8"/>
    <n v="0"/>
    <n v="149"/>
    <n v="1"/>
    <x v="0"/>
    <n v="76"/>
    <s v="Suburban"/>
    <s v="FL"/>
    <s v="SST"/>
    <n v="180"/>
    <n v="2017"/>
    <s v="Tenant A"/>
    <n v="45713"/>
    <n v="149"/>
    <s v="Suburban"/>
    <s v="TX"/>
    <n v="104741.64"/>
    <n v="1050"/>
    <m/>
    <n v="12600"/>
    <s v="8.312828571428572"/>
    <x v="0"/>
  </r>
  <r>
    <n v="307"/>
    <x v="0"/>
    <x v="0"/>
    <x v="1"/>
    <x v="0"/>
    <x v="4"/>
    <s v="Tenant C"/>
    <n v="114187.2"/>
    <n v="0"/>
    <n v="150"/>
    <n v="116"/>
    <x v="0"/>
    <n v="76"/>
    <s v="Suburban"/>
    <s v="FL"/>
    <s v="SST"/>
    <n v="160"/>
    <n v="2018"/>
    <s v="Tenant A"/>
    <n v="89028.160000000003"/>
    <n v="150"/>
    <s v="Rural"/>
    <s v="PA"/>
    <n v="26139.24"/>
    <n v="950"/>
    <n v="350"/>
    <n v="7200"/>
    <n v="3.6304500000000002"/>
    <x v="2"/>
  </r>
  <r>
    <n v="323"/>
    <x v="1"/>
    <x v="0"/>
    <x v="0"/>
    <x v="11"/>
    <x v="4"/>
    <s v="Tenant D"/>
    <n v="29636.400000000001"/>
    <n v="0"/>
    <n v="151"/>
    <n v="69"/>
    <x v="0"/>
    <n v="76"/>
    <s v="Suburban"/>
    <s v="OR"/>
    <s v="SST"/>
    <n v="165"/>
    <n v="2018"/>
    <s v="Tenant A"/>
    <n v="92378"/>
    <n v="151"/>
    <s v="Suburban"/>
    <s v="PA"/>
    <n v="98223.84"/>
    <n v="875"/>
    <n v="325"/>
    <n v="6600"/>
    <s v="14.882400000000002"/>
    <x v="1"/>
  </r>
  <r>
    <n v="331"/>
    <x v="1"/>
    <x v="3"/>
    <x v="0"/>
    <x v="12"/>
    <x v="4"/>
    <s v="Tenant C"/>
    <n v="39892.800000000003"/>
    <n v="0"/>
    <n v="152"/>
    <n v="72"/>
    <x v="0"/>
    <n v="76"/>
    <s v="Suburban"/>
    <s v="PA"/>
    <s v="SST"/>
    <n v="190"/>
    <n v="2018"/>
    <s v="Tenant A"/>
    <n v="94441.36"/>
    <n v="152"/>
    <s v="Suburban"/>
    <s v="OR"/>
    <n v="102749.9"/>
    <n v="875"/>
    <n v="325"/>
    <n v="6600"/>
    <s v="15.568166666666668"/>
    <x v="1"/>
  </r>
  <r>
    <n v="333"/>
    <x v="1"/>
    <x v="1"/>
    <x v="1"/>
    <x v="18"/>
    <x v="4"/>
    <s v="Tenant C"/>
    <n v="30398.400000000001"/>
    <n v="0"/>
    <n v="153"/>
    <n v="114"/>
    <x v="0"/>
    <n v="76"/>
    <s v="Suburban"/>
    <s v="TX"/>
    <s v="Monopole"/>
    <n v="185"/>
    <n v="2018"/>
    <s v="Tenant C"/>
    <n v="101104.8"/>
    <n v="153"/>
    <s v="Rural"/>
    <s v="OR"/>
    <s v="21612.960000000003"/>
    <n v="975"/>
    <n v="325"/>
    <n v="7800"/>
    <s v="2.770892307692308"/>
    <x v="2"/>
  </r>
  <r>
    <n v="335"/>
    <x v="0"/>
    <x v="4"/>
    <x v="0"/>
    <x v="22"/>
    <x v="4"/>
    <s v="Tenant D"/>
    <n v="128043.6"/>
    <n v="0"/>
    <n v="154"/>
    <n v="274"/>
    <x v="0"/>
    <n v="76"/>
    <s v="Suburban"/>
    <s v="AZ"/>
    <s v="SST"/>
    <n v="105"/>
    <n v="2020"/>
    <s v="Tenant C"/>
    <n v="104562.5"/>
    <n v="154"/>
    <s v="Urban"/>
    <s v="TX"/>
    <n v="86344.42"/>
    <n v="1050"/>
    <n v="300"/>
    <n v="9000"/>
    <s v="9.593824444444444"/>
    <x v="0"/>
  </r>
  <r>
    <n v="355"/>
    <x v="0"/>
    <x v="3"/>
    <x v="1"/>
    <x v="3"/>
    <x v="4"/>
    <s v="Tenant A"/>
    <n v="98618.4"/>
    <n v="0"/>
    <n v="155"/>
    <n v="21"/>
    <x v="0"/>
    <n v="76"/>
    <s v="Suburban"/>
    <s v="OR"/>
    <s v="SST"/>
    <n v="175"/>
    <n v="2017"/>
    <s v="Tenant B"/>
    <n v="104788"/>
    <n v="155"/>
    <s v="Suburban"/>
    <s v="AZ"/>
    <n v="103926.64"/>
    <n v="975"/>
    <n v="325"/>
    <n v="7800"/>
    <s v="13.323928205128205"/>
    <x v="1"/>
  </r>
  <r>
    <n v="363"/>
    <x v="1"/>
    <x v="3"/>
    <x v="1"/>
    <x v="0"/>
    <x v="4"/>
    <s v="Tenant C"/>
    <n v="44119.199999999997"/>
    <n v="0"/>
    <n v="156"/>
    <n v="26"/>
    <x v="0"/>
    <n v="76"/>
    <s v="Suburban"/>
    <s v="PA"/>
    <s v="SST"/>
    <n v="190"/>
    <n v="2017"/>
    <s v="Tenant B"/>
    <n v="105910"/>
    <n v="156"/>
    <s v="Rural"/>
    <s v="TX"/>
    <n v="42020"/>
    <n v="825"/>
    <n v="350"/>
    <n v="5700"/>
    <s v="7.371929824561404"/>
    <x v="0"/>
  </r>
  <r>
    <n v="397"/>
    <x v="1"/>
    <x v="0"/>
    <x v="0"/>
    <x v="17"/>
    <x v="4"/>
    <s v="Tenant C"/>
    <n v="27312"/>
    <n v="0"/>
    <n v="157"/>
    <n v="106"/>
    <x v="0"/>
    <n v="76"/>
    <s v="Suburban"/>
    <s v="FL"/>
    <s v="SST"/>
    <n v="160"/>
    <n v="2018"/>
    <s v="Tenant A"/>
    <n v="106111.63"/>
    <n v="157"/>
    <s v="Rural"/>
    <s v="FL"/>
    <n v="34260.26"/>
    <n v="875"/>
    <n v="250"/>
    <n v="7500"/>
    <s v="4.568034666666667"/>
    <x v="2"/>
  </r>
  <r>
    <n v="398"/>
    <x v="0"/>
    <x v="3"/>
    <x v="1"/>
    <x v="26"/>
    <x v="4"/>
    <s v="Tenant C"/>
    <n v="108384"/>
    <n v="0"/>
    <n v="158"/>
    <n v="397"/>
    <x v="0"/>
    <n v="75"/>
    <s v="Rural"/>
    <s v="AZ"/>
    <s v="SST"/>
    <n v="220"/>
    <n v="2021"/>
    <s v="Tenant C"/>
    <n v="27312"/>
    <n v="158"/>
    <s v="Suburban"/>
    <s v="FL"/>
    <s v="87548.04000000001"/>
    <n v="825"/>
    <n v="375"/>
    <n v="5400"/>
    <s v="16.212600000000002"/>
    <x v="1"/>
  </r>
  <r>
    <n v="417"/>
    <x v="1"/>
    <x v="3"/>
    <x v="1"/>
    <x v="14"/>
    <x v="5"/>
    <s v="Tenant A"/>
    <n v="31079.64"/>
    <n v="0"/>
    <n v="159"/>
    <n v="445"/>
    <x v="0"/>
    <n v="75"/>
    <s v="Rural"/>
    <s v="TX"/>
    <s v="SST"/>
    <n v="210"/>
    <n v="2022"/>
    <s v="Tenant C"/>
    <n v="32845.919999999998"/>
    <n v="159"/>
    <s v="Rural"/>
    <s v="PA"/>
    <s v="25215.300000000003"/>
    <n v="825"/>
    <n v="150"/>
    <n v="8100"/>
    <s v="3.1130000000000004"/>
    <x v="2"/>
  </r>
  <r>
    <n v="418"/>
    <x v="1"/>
    <x v="1"/>
    <x v="0"/>
    <x v="11"/>
    <x v="5"/>
    <s v="Tenant D"/>
    <n v="31531.05"/>
    <n v="0"/>
    <n v="160"/>
    <n v="292"/>
    <x v="0"/>
    <n v="75"/>
    <s v="Rural"/>
    <s v="TX"/>
    <s v="SST"/>
    <n v="215"/>
    <n v="2021"/>
    <s v="Tenant B"/>
    <n v="36832.800000000003"/>
    <n v="160"/>
    <s v="Rural"/>
    <s v="OR"/>
    <n v="36601.4"/>
    <n v="975"/>
    <n v="275"/>
    <n v="8400"/>
    <s v="4.357309523809524"/>
    <x v="2"/>
  </r>
  <r>
    <n v="431"/>
    <x v="1"/>
    <x v="3"/>
    <x v="0"/>
    <x v="7"/>
    <x v="5"/>
    <s v="Tenant B"/>
    <n v="27138.720000000001"/>
    <n v="0"/>
    <n v="161"/>
    <n v="412"/>
    <x v="0"/>
    <n v="75"/>
    <s v="Rural"/>
    <s v="TX"/>
    <s v="SST"/>
    <n v="230"/>
    <n v="2022"/>
    <s v="Tenant B"/>
    <n v="37924.589999999997"/>
    <n v="161"/>
    <s v="Rural"/>
    <s v="AZ"/>
    <n v="37293.300000000003"/>
    <n v="975"/>
    <n v="325"/>
    <n v="7800"/>
    <s v="4.781192307692308"/>
    <x v="2"/>
  </r>
  <r>
    <n v="441"/>
    <x v="1"/>
    <x v="2"/>
    <x v="0"/>
    <x v="2"/>
    <x v="5"/>
    <s v="Tenant D"/>
    <n v="46593.63"/>
    <n v="0"/>
    <n v="162"/>
    <n v="442"/>
    <x v="0"/>
    <n v="75"/>
    <s v="Rural"/>
    <s v="AZ"/>
    <s v="SST"/>
    <n v="225"/>
    <n v="2022"/>
    <s v="Tenant C"/>
    <n v="38244.39"/>
    <n v="162"/>
    <s v="Rural"/>
    <s v="PA"/>
    <s v="34003.740000000005"/>
    <n v="825"/>
    <m/>
    <n v="9900"/>
    <s v="3.4347212121212127"/>
    <x v="2"/>
  </r>
  <r>
    <n v="446"/>
    <x v="0"/>
    <x v="3"/>
    <x v="0"/>
    <x v="18"/>
    <x v="5"/>
    <s v="Tenant A"/>
    <n v="101815.71"/>
    <n v="0"/>
    <n v="163"/>
    <n v="309"/>
    <x v="0"/>
    <n v="75"/>
    <s v="Rural"/>
    <s v="TX"/>
    <s v="SST"/>
    <n v="205"/>
    <n v="2021"/>
    <s v="Tenant B"/>
    <n v="41137.199999999997"/>
    <n v="163"/>
    <s v="Rural"/>
    <s v="TX"/>
    <n v="24388.48"/>
    <n v="825"/>
    <n v="150"/>
    <n v="8100"/>
    <s v="3.0109234567901235"/>
    <x v="2"/>
  </r>
  <r>
    <n v="461"/>
    <x v="1"/>
    <x v="4"/>
    <x v="0"/>
    <x v="31"/>
    <x v="5"/>
    <s v="Tenant C"/>
    <n v="48907.26"/>
    <n v="0"/>
    <n v="164"/>
    <n v="460"/>
    <x v="0"/>
    <n v="75"/>
    <s v="Rural"/>
    <s v="TX"/>
    <s v="SST"/>
    <n v="205"/>
    <n v="2022"/>
    <s v="Tenant C"/>
    <n v="41480.519999999997"/>
    <n v="164"/>
    <s v="Suburban"/>
    <s v="OR"/>
    <n v="94298.66"/>
    <n v="975"/>
    <n v="325"/>
    <n v="7800"/>
    <s v="12.089571794871794"/>
    <x v="1"/>
  </r>
  <r>
    <n v="467"/>
    <x v="1"/>
    <x v="4"/>
    <x v="1"/>
    <x v="13"/>
    <x v="5"/>
    <s v="Tenant B"/>
    <n v="47280"/>
    <n v="0"/>
    <n v="165"/>
    <n v="444"/>
    <x v="0"/>
    <n v="75"/>
    <s v="Rural"/>
    <s v="AZ"/>
    <s v="SST"/>
    <n v="235"/>
    <n v="2022"/>
    <s v="Tenant A"/>
    <n v="47862.99"/>
    <n v="165"/>
    <s v="Suburban"/>
    <s v="FL"/>
    <n v="112656.96000000001"/>
    <n v="975"/>
    <n v="275"/>
    <n v="8400"/>
    <s v="13.41154285714286"/>
    <x v="1"/>
  </r>
  <r>
    <n v="480"/>
    <x v="1"/>
    <x v="0"/>
    <x v="0"/>
    <x v="7"/>
    <x v="5"/>
    <s v="Tenant D"/>
    <n v="30970"/>
    <n v="0"/>
    <n v="166"/>
    <n v="224"/>
    <x v="0"/>
    <n v="75"/>
    <s v="Suburban"/>
    <s v="FL"/>
    <s v="SST"/>
    <n v="135"/>
    <n v="2019"/>
    <s v="Tenant C"/>
    <n v="95760.4"/>
    <n v="166"/>
    <s v="Suburban"/>
    <s v="OR"/>
    <n v="101584.8"/>
    <n v="950"/>
    <n v="275"/>
    <n v="8100"/>
    <s v="12.541333333333334"/>
    <x v="1"/>
  </r>
  <r>
    <n v="484"/>
    <x v="1"/>
    <x v="3"/>
    <x v="4"/>
    <x v="20"/>
    <x v="5"/>
    <s v="Tenant A"/>
    <n v="112375"/>
    <n v="0"/>
    <n v="167"/>
    <n v="264"/>
    <x v="0"/>
    <n v="75"/>
    <s v="Suburban"/>
    <s v="PA"/>
    <s v="SST"/>
    <n v="130"/>
    <n v="2020"/>
    <s v="Tenant C"/>
    <n v="102783.75"/>
    <n v="167"/>
    <s v="Suburban"/>
    <s v="PA"/>
    <n v="95994.72"/>
    <n v="975"/>
    <n v="200"/>
    <n v="9300"/>
    <s v="10.322012903225806"/>
    <x v="1"/>
  </r>
  <r>
    <n v="16"/>
    <x v="1"/>
    <x v="2"/>
    <x v="0"/>
    <x v="2"/>
    <x v="0"/>
    <s v="Tenant A"/>
    <n v="23964"/>
    <n v="0"/>
    <n v="168"/>
    <n v="155"/>
    <x v="0"/>
    <n v="75"/>
    <s v="Suburban"/>
    <s v="AZ"/>
    <s v="Monopole"/>
    <n v="125"/>
    <n v="2019"/>
    <s v="Tenant C"/>
    <n v="103926.64"/>
    <n v="168"/>
    <s v="Suburban"/>
    <s v="OR"/>
    <n v="113217.54"/>
    <n v="975"/>
    <n v="275"/>
    <n v="8400"/>
    <s v="13.478278571428572"/>
    <x v="1"/>
  </r>
  <r>
    <n v="21"/>
    <x v="0"/>
    <x v="3"/>
    <x v="0"/>
    <x v="15"/>
    <x v="0"/>
    <s v="Tenant B"/>
    <n v="104788"/>
    <n v="0"/>
    <n v="169"/>
    <n v="241"/>
    <x v="0"/>
    <n v="75"/>
    <s v="Suburban"/>
    <s v="OR"/>
    <s v="SST"/>
    <n v="155"/>
    <n v="2019"/>
    <s v="Tenant D"/>
    <n v="109946.16"/>
    <n v="169"/>
    <s v="Rural"/>
    <s v="AZ"/>
    <n v="39719.160000000003"/>
    <n v="975"/>
    <n v="325"/>
    <n v="7800"/>
    <n v="5.0922000000000001"/>
    <x v="0"/>
  </r>
  <r>
    <n v="31"/>
    <x v="0"/>
    <x v="1"/>
    <x v="1"/>
    <x v="18"/>
    <x v="0"/>
    <s v="Tenant B"/>
    <n v="88961"/>
    <n v="0"/>
    <n v="170"/>
    <n v="188"/>
    <x v="0"/>
    <n v="75"/>
    <s v="Suburban"/>
    <s v="AZ"/>
    <s v="Monopole"/>
    <n v="125"/>
    <n v="2019"/>
    <s v="Tenant C"/>
    <n v="112683.3"/>
    <n v="170"/>
    <s v="Rural"/>
    <s v="FL"/>
    <s v="30138.480000000003"/>
    <n v="825"/>
    <n v="250"/>
    <n v="6900"/>
    <s v="4.367895652173914"/>
    <x v="2"/>
  </r>
  <r>
    <n v="63"/>
    <x v="1"/>
    <x v="2"/>
    <x v="0"/>
    <x v="24"/>
    <x v="1"/>
    <s v="Tenant C"/>
    <n v="23647.52"/>
    <n v="0"/>
    <n v="171"/>
    <n v="131"/>
    <x v="0"/>
    <n v="75"/>
    <s v="Suburban"/>
    <s v="TX"/>
    <s v="Monopole"/>
    <n v="135"/>
    <n v="2019"/>
    <s v="Tenant D"/>
    <n v="116247.96"/>
    <n v="171"/>
    <s v="Rural"/>
    <s v="TX"/>
    <n v="35468.400000000001"/>
    <n v="950"/>
    <n v="200"/>
    <n v="9000"/>
    <s v="3.9409333333333336"/>
    <x v="2"/>
  </r>
  <r>
    <n v="71"/>
    <x v="0"/>
    <x v="4"/>
    <x v="1"/>
    <x v="12"/>
    <x v="1"/>
    <s v="Tenant A"/>
    <n v="85768.1"/>
    <n v="0"/>
    <n v="172"/>
    <n v="164"/>
    <x v="0"/>
    <n v="74"/>
    <s v="Suburban"/>
    <s v="OR"/>
    <s v="Monopole"/>
    <n v="185"/>
    <n v="2019"/>
    <s v="Tenant C"/>
    <n v="94298.66"/>
    <n v="172"/>
    <s v="Suburban"/>
    <s v="AZ"/>
    <n v="115790.16"/>
    <n v="975"/>
    <n v="225"/>
    <n v="9000"/>
    <s v="12.865573333333334"/>
    <x v="1"/>
  </r>
  <r>
    <n v="72"/>
    <x v="0"/>
    <x v="2"/>
    <x v="0"/>
    <x v="22"/>
    <x v="1"/>
    <s v="Tenant A"/>
    <n v="94441.36"/>
    <n v="0"/>
    <n v="173"/>
    <n v="332"/>
    <x v="0"/>
    <n v="74"/>
    <s v="Suburban"/>
    <s v="FL"/>
    <s v="SST"/>
    <n v="115"/>
    <n v="2021"/>
    <s v="Tenant A"/>
    <n v="97030.8"/>
    <n v="173"/>
    <s v="Urban"/>
    <s v="OR"/>
    <n v="116568.2"/>
    <n v="975"/>
    <n v="700"/>
    <n v="3300"/>
    <s v="35.323696969696975"/>
    <x v="1"/>
  </r>
  <r>
    <n v="74"/>
    <x v="1"/>
    <x v="4"/>
    <x v="0"/>
    <x v="31"/>
    <x v="1"/>
    <s v="Tenant D"/>
    <n v="31138.639999999999"/>
    <n v="0"/>
    <n v="174"/>
    <n v="122"/>
    <x v="0"/>
    <n v="74"/>
    <s v="Suburban"/>
    <s v="FL"/>
    <s v="Monopole"/>
    <n v="185"/>
    <n v="2019"/>
    <s v="Tenant C"/>
    <n v="102498"/>
    <n v="174"/>
    <s v="Suburban"/>
    <s v="AZ"/>
    <n v="116846.28"/>
    <n v="975"/>
    <n v="350"/>
    <n v="7500"/>
    <s v="15.579504000000002"/>
    <x v="1"/>
  </r>
  <r>
    <n v="87"/>
    <x v="1"/>
    <x v="0"/>
    <x v="1"/>
    <x v="3"/>
    <x v="1"/>
    <s v="Tenant C"/>
    <n v="26408.17"/>
    <n v="0"/>
    <n v="175"/>
    <n v="320"/>
    <x v="0"/>
    <n v="74"/>
    <s v="Suburban"/>
    <s v="AZ"/>
    <s v="Monopole"/>
    <n v="90"/>
    <n v="2021"/>
    <s v="Tenant A"/>
    <n v="102979.2"/>
    <n v="175"/>
    <s v="Suburban"/>
    <s v="AZ"/>
    <n v="96691.32"/>
    <n v="875"/>
    <n v="200"/>
    <n v="8100"/>
    <n v="11.937200000000001"/>
    <x v="1"/>
  </r>
  <r>
    <n v="98"/>
    <x v="1"/>
    <x v="0"/>
    <x v="0"/>
    <x v="13"/>
    <x v="1"/>
    <s v="Tenant C"/>
    <n v="37945.199999999997"/>
    <n v="0"/>
    <n v="176"/>
    <n v="142"/>
    <x v="0"/>
    <n v="74"/>
    <s v="Suburban"/>
    <s v="OR"/>
    <s v="Monopole"/>
    <n v="175"/>
    <n v="2019"/>
    <s v="Tenant A"/>
    <n v="104130.16"/>
    <n v="176"/>
    <s v="Suburban"/>
    <s v="AZ"/>
    <n v="95966.04"/>
    <n v="975"/>
    <n v="225"/>
    <n v="9000"/>
    <s v="10.662893333333336"/>
    <x v="1"/>
  </r>
  <r>
    <n v="108"/>
    <x v="1"/>
    <x v="1"/>
    <x v="0"/>
    <x v="0"/>
    <x v="1"/>
    <s v="Tenant B"/>
    <n v="37694.910000000003"/>
    <n v="0"/>
    <n v="177"/>
    <n v="379"/>
    <x v="0"/>
    <n v="74"/>
    <s v="Suburban"/>
    <s v="FL"/>
    <s v="SST"/>
    <n v="100"/>
    <n v="2021"/>
    <s v="Tenant A"/>
    <n v="104562"/>
    <n v="177"/>
    <s v="Rural"/>
    <s v="OR"/>
    <s v="28757.800000000003"/>
    <n v="825"/>
    <n v="325"/>
    <n v="6000"/>
    <s v="4.7929666666666675"/>
    <x v="2"/>
  </r>
  <r>
    <n v="115"/>
    <x v="1"/>
    <x v="2"/>
    <x v="0"/>
    <x v="29"/>
    <x v="1"/>
    <s v="Tenant C"/>
    <n v="35494.160000000003"/>
    <n v="0"/>
    <n v="178"/>
    <n v="93"/>
    <x v="0"/>
    <n v="74"/>
    <s v="Suburban"/>
    <s v="PA"/>
    <s v="Monopole"/>
    <n v="225"/>
    <n v="2018"/>
    <s v="Tenant A"/>
    <n v="109950.88"/>
    <n v="178"/>
    <s v="Suburban"/>
    <s v="OR"/>
    <n v="108794.88"/>
    <n v="975"/>
    <n v="275"/>
    <n v="8400"/>
    <s v="12.95177142857143"/>
    <x v="1"/>
  </r>
  <r>
    <n v="136"/>
    <x v="0"/>
    <x v="3"/>
    <x v="0"/>
    <x v="25"/>
    <x v="2"/>
    <s v="Tenant B"/>
    <n v="106728.6"/>
    <n v="0"/>
    <n v="179"/>
    <n v="318"/>
    <x v="0"/>
    <n v="74"/>
    <s v="Suburban"/>
    <s v="FL"/>
    <s v="SST"/>
    <n v="90"/>
    <n v="2021"/>
    <s v="Tenant B"/>
    <n v="127162.8"/>
    <n v="179"/>
    <s v="Suburban"/>
    <s v="TX"/>
    <n v="95797.08"/>
    <n v="875"/>
    <n v="400"/>
    <n v="5700"/>
    <s v="16.806505263157895"/>
    <x v="1"/>
  </r>
  <r>
    <n v="141"/>
    <x v="1"/>
    <x v="2"/>
    <x v="0"/>
    <x v="26"/>
    <x v="2"/>
    <s v="Tenant D"/>
    <s v="24252.800000000003"/>
    <n v="0"/>
    <n v="180"/>
    <n v="459"/>
    <x v="0"/>
    <n v="74"/>
    <s v="Suburban"/>
    <s v="OR"/>
    <s v="SST"/>
    <n v="110"/>
    <n v="2022"/>
    <s v="Tenant D"/>
    <n v="132718.23000000001"/>
    <n v="180"/>
    <s v="Suburban"/>
    <s v="OR"/>
    <n v="93024.8"/>
    <n v="950"/>
    <n v="275"/>
    <n v="8100"/>
    <s v="11.484543209876543"/>
    <x v="1"/>
  </r>
  <r>
    <n v="149"/>
    <x v="0"/>
    <x v="4"/>
    <x v="2"/>
    <x v="13"/>
    <x v="2"/>
    <s v="Tenant A"/>
    <n v="104741.64"/>
    <n v="0"/>
    <n v="181"/>
    <n v="368"/>
    <x v="0"/>
    <n v="73"/>
    <s v="Suburban"/>
    <s v="FL"/>
    <s v="Monopole"/>
    <n v="150"/>
    <n v="2021"/>
    <s v="Tenant A"/>
    <n v="96958.8"/>
    <n v="181"/>
    <s v="Suburban"/>
    <s v="OR"/>
    <n v="109395.18"/>
    <n v="875"/>
    <n v="225"/>
    <n v="7800"/>
    <s v="14.02502307692308"/>
    <x v="1"/>
  </r>
  <r>
    <n v="151"/>
    <x v="0"/>
    <x v="2"/>
    <x v="1"/>
    <x v="20"/>
    <x v="2"/>
    <s v="Tenant B"/>
    <n v="98223.84"/>
    <n v="0"/>
    <n v="182"/>
    <n v="434"/>
    <x v="0"/>
    <n v="73"/>
    <s v="Suburban"/>
    <s v="FL"/>
    <s v="Monopole"/>
    <n v="120"/>
    <n v="2022"/>
    <s v="Tenant A"/>
    <n v="104253.57"/>
    <n v="182"/>
    <s v="Rural"/>
    <s v="OR"/>
    <n v="32636.34"/>
    <n v="825"/>
    <n v="350"/>
    <n v="5700"/>
    <s v="5.725673684210526"/>
    <x v="0"/>
  </r>
  <r>
    <n v="156"/>
    <x v="1"/>
    <x v="4"/>
    <x v="0"/>
    <x v="18"/>
    <x v="2"/>
    <s v="Tenant D"/>
    <n v="42020"/>
    <n v="0"/>
    <n v="183"/>
    <n v="364"/>
    <x v="0"/>
    <n v="73"/>
    <s v="Urban"/>
    <s v="AZ"/>
    <s v="Stealth - Monopine"/>
    <n v="120"/>
    <n v="2021"/>
    <s v="Tenant D"/>
    <n v="108694.8"/>
    <n v="183"/>
    <s v="Rural"/>
    <s v="FL"/>
    <n v="34563.42"/>
    <n v="975"/>
    <n v="250"/>
    <n v="8700"/>
    <s v="3.972806896551724"/>
    <x v="2"/>
  </r>
  <r>
    <n v="160"/>
    <x v="1"/>
    <x v="3"/>
    <x v="0"/>
    <x v="18"/>
    <x v="2"/>
    <s v="Tenant C"/>
    <n v="36601.4"/>
    <n v="0"/>
    <n v="184"/>
    <n v="298"/>
    <x v="0"/>
    <n v="73"/>
    <s v="Suburban"/>
    <s v="PA"/>
    <s v="Monopole"/>
    <n v="155"/>
    <n v="2021"/>
    <s v="Tenant D"/>
    <n v="111411.6"/>
    <n v="184"/>
    <s v="Suburban"/>
    <s v="AZ"/>
    <n v="99127.8"/>
    <n v="875"/>
    <n v="225"/>
    <n v="7800"/>
    <s v="12.708692307692308"/>
    <x v="1"/>
  </r>
  <r>
    <n v="168"/>
    <x v="0"/>
    <x v="3"/>
    <x v="0"/>
    <x v="14"/>
    <x v="2"/>
    <s v="Tenant C"/>
    <n v="113217.54"/>
    <n v="0"/>
    <n v="185"/>
    <n v="362"/>
    <x v="0"/>
    <n v="73"/>
    <s v="Suburban"/>
    <s v="FL"/>
    <s v="Monopole"/>
    <n v="140"/>
    <n v="2021"/>
    <s v="Tenant C"/>
    <n v="116605.2"/>
    <n v="185"/>
    <s v="Rural"/>
    <s v="TX"/>
    <n v="30366.880000000001"/>
    <n v="825"/>
    <n v="325"/>
    <n v="6000"/>
    <s v="5.061146666666667"/>
    <x v="0"/>
  </r>
  <r>
    <n v="177"/>
    <x v="1"/>
    <x v="3"/>
    <x v="0"/>
    <x v="24"/>
    <x v="2"/>
    <s v="Tenant D"/>
    <s v="28757.800000000003"/>
    <n v="0"/>
    <n v="186"/>
    <n v="340"/>
    <x v="0"/>
    <n v="73"/>
    <s v="Suburban"/>
    <s v="OR"/>
    <s v="Monopole"/>
    <n v="150"/>
    <n v="2021"/>
    <s v="Tenant A"/>
    <n v="118746"/>
    <n v="186"/>
    <s v="Rural"/>
    <s v="PA"/>
    <n v="42161.04"/>
    <n v="975"/>
    <n v="300"/>
    <n v="8100"/>
    <s v="5.205066666666667"/>
    <x v="0"/>
  </r>
  <r>
    <n v="195"/>
    <x v="1"/>
    <x v="2"/>
    <x v="0"/>
    <x v="0"/>
    <x v="2"/>
    <s v="Tenant B"/>
    <n v="32039.279999999999"/>
    <n v="0"/>
    <n v="187"/>
    <n v="410"/>
    <x v="0"/>
    <n v="73"/>
    <s v="Suburban"/>
    <s v="PA"/>
    <s v="Monopole"/>
    <n v="140"/>
    <n v="2022"/>
    <s v="Tenant A"/>
    <n v="126424.32000000001"/>
    <n v="187"/>
    <s v="Urban"/>
    <s v="OR"/>
    <n v="94305.02"/>
    <n v="875"/>
    <n v="400"/>
    <n v="5700"/>
    <s v="16.544740350877195"/>
    <x v="1"/>
  </r>
  <r>
    <n v="201"/>
    <x v="0"/>
    <x v="4"/>
    <x v="0"/>
    <x v="10"/>
    <x v="2"/>
    <s v="Tenant D"/>
    <n v="90472.06"/>
    <n v="0"/>
    <n v="188"/>
    <n v="147"/>
    <x v="0"/>
    <n v="72"/>
    <s v="Rural"/>
    <s v="TX"/>
    <s v="SST"/>
    <n v="205"/>
    <n v="2019"/>
    <s v="Tenant B"/>
    <n v="28147.9"/>
    <n v="188"/>
    <s v="Suburban"/>
    <s v="AZ"/>
    <n v="112683.3"/>
    <n v="975"/>
    <n v="350"/>
    <n v="7500"/>
    <n v="15.02444"/>
    <x v="1"/>
  </r>
  <r>
    <n v="206"/>
    <x v="1"/>
    <x v="2"/>
    <x v="0"/>
    <x v="4"/>
    <x v="2"/>
    <s v="Tenant A"/>
    <n v="21913.38"/>
    <n v="0"/>
    <n v="189"/>
    <n v="427"/>
    <x v="0"/>
    <n v="72"/>
    <s v="Rural"/>
    <s v="TX"/>
    <s v="SST"/>
    <n v="185"/>
    <n v="2022"/>
    <s v="Tenant A"/>
    <n v="29895.15"/>
    <n v="189"/>
    <s v="Suburban"/>
    <s v="FL"/>
    <n v="112124.68"/>
    <n v="825"/>
    <n v="325"/>
    <n v="6000"/>
    <s v="18.687446666666663"/>
    <x v="1"/>
  </r>
  <r>
    <n v="207"/>
    <x v="0"/>
    <x v="2"/>
    <x v="0"/>
    <x v="7"/>
    <x v="2"/>
    <s v="Tenant D"/>
    <n v="115989.5"/>
    <n v="0"/>
    <n v="190"/>
    <n v="247"/>
    <x v="0"/>
    <n v="72"/>
    <s v="Rural"/>
    <s v="TX"/>
    <s v="SST"/>
    <n v="200"/>
    <n v="2019"/>
    <s v="Tenant D"/>
    <n v="30556.44"/>
    <n v="190"/>
    <s v="Urban"/>
    <s v="TX"/>
    <n v="87276.160000000003"/>
    <n v="950"/>
    <n v="300"/>
    <n v="7800"/>
    <s v="11.189251282051282"/>
    <x v="1"/>
  </r>
  <r>
    <n v="218"/>
    <x v="1"/>
    <x v="1"/>
    <x v="1"/>
    <x v="12"/>
    <x v="2"/>
    <s v="Tenant D"/>
    <s v="35850.600000000006"/>
    <n v="0"/>
    <n v="191"/>
    <n v="227"/>
    <x v="0"/>
    <n v="72"/>
    <s v="Rural"/>
    <s v="AZ"/>
    <s v="SST"/>
    <n v="240"/>
    <n v="2019"/>
    <s v="Tenant C"/>
    <n v="30646.080000000002"/>
    <n v="191"/>
    <s v="Rural"/>
    <s v="PA"/>
    <n v="37345.32"/>
    <n v="975"/>
    <n v="225"/>
    <n v="9000"/>
    <n v="4.1494799999999996"/>
    <x v="2"/>
  </r>
  <r>
    <n v="222"/>
    <x v="1"/>
    <x v="4"/>
    <x v="1"/>
    <x v="16"/>
    <x v="2"/>
    <s v="Tenant D"/>
    <s v="41977.060000000005"/>
    <n v="0"/>
    <n v="192"/>
    <n v="314"/>
    <x v="0"/>
    <n v="72"/>
    <s v="Rural"/>
    <s v="AZ"/>
    <s v="SST"/>
    <n v="165"/>
    <n v="2021"/>
    <s v="Tenant A"/>
    <n v="30674.400000000001"/>
    <n v="192"/>
    <s v="Rural"/>
    <s v="OR"/>
    <n v="30542.84"/>
    <n v="950"/>
    <n v="200"/>
    <n v="9000"/>
    <s v="3.393648888888889"/>
    <x v="2"/>
  </r>
  <r>
    <n v="226"/>
    <x v="0"/>
    <x v="4"/>
    <x v="1"/>
    <x v="28"/>
    <x v="2"/>
    <s v="Tenant B"/>
    <n v="114874.32"/>
    <n v="0"/>
    <n v="193"/>
    <n v="480"/>
    <x v="0"/>
    <n v="72"/>
    <s v="Rural"/>
    <s v="AZ"/>
    <s v="SST"/>
    <n v="180"/>
    <n v="2022"/>
    <s v="Tenant D"/>
    <n v="30970"/>
    <n v="193"/>
    <s v="Rural"/>
    <s v="PA"/>
    <n v="29115.02"/>
    <n v="975"/>
    <n v="325"/>
    <n v="7800"/>
    <s v="3.732694871794872"/>
    <x v="2"/>
  </r>
  <r>
    <n v="234"/>
    <x v="1"/>
    <x v="0"/>
    <x v="1"/>
    <x v="14"/>
    <x v="2"/>
    <s v="Tenant C"/>
    <n v="23569.7"/>
    <n v="0"/>
    <n v="194"/>
    <n v="367"/>
    <x v="0"/>
    <n v="72"/>
    <s v="Rural"/>
    <s v="TX"/>
    <s v="SST"/>
    <n v="165"/>
    <n v="2021"/>
    <s v="Tenant A"/>
    <n v="31366.799999999999"/>
    <n v="194"/>
    <s v="Rural"/>
    <s v="OR"/>
    <n v="36980.28"/>
    <n v="950"/>
    <n v="350"/>
    <n v="7200"/>
    <n v="5.1361499999999998"/>
    <x v="0"/>
  </r>
  <r>
    <n v="245"/>
    <x v="1"/>
    <x v="4"/>
    <x v="1"/>
    <x v="15"/>
    <x v="2"/>
    <s v="Tenant C"/>
    <n v="27254.880000000001"/>
    <n v="0"/>
    <n v="195"/>
    <n v="458"/>
    <x v="0"/>
    <n v="72"/>
    <s v="Rural"/>
    <s v="AZ"/>
    <s v="SST"/>
    <n v="180"/>
    <n v="2022"/>
    <s v="Tenant C"/>
    <n v="34838.519999999997"/>
    <n v="195"/>
    <s v="Rural"/>
    <s v="PA"/>
    <n v="32039.279999999999"/>
    <n v="875"/>
    <n v="375"/>
    <n v="6000"/>
    <s v="5.339880000000001"/>
    <x v="0"/>
  </r>
  <r>
    <n v="260"/>
    <x v="0"/>
    <x v="1"/>
    <x v="0"/>
    <x v="27"/>
    <x v="3"/>
    <s v="Tenant A"/>
    <n v="134225"/>
    <n v="0"/>
    <n v="196"/>
    <n v="244"/>
    <x v="0"/>
    <n v="72"/>
    <s v="Rural"/>
    <s v="TX"/>
    <s v="SST"/>
    <n v="240"/>
    <n v="2019"/>
    <s v="Tenant C"/>
    <n v="41961.16"/>
    <n v="196"/>
    <s v="Urban"/>
    <s v="FL"/>
    <n v="106497.14"/>
    <n v="975"/>
    <n v="425"/>
    <n v="6600"/>
    <s v="16.135930303030303"/>
    <x v="1"/>
  </r>
  <r>
    <n v="263"/>
    <x v="1"/>
    <x v="2"/>
    <x v="1"/>
    <x v="28"/>
    <x v="3"/>
    <s v="Tenant A"/>
    <n v="37775"/>
    <n v="0"/>
    <n v="197"/>
    <n v="135"/>
    <x v="0"/>
    <n v="72"/>
    <s v="Rural"/>
    <s v="TX"/>
    <s v="SST"/>
    <n v="200"/>
    <n v="2019"/>
    <s v="Tenant D"/>
    <n v="42961.32"/>
    <n v="197"/>
    <s v="Suburban"/>
    <s v="FL"/>
    <n v="115262.28"/>
    <n v="875"/>
    <n v="250"/>
    <n v="7500"/>
    <n v="15.368304"/>
    <x v="1"/>
  </r>
  <r>
    <n v="271"/>
    <x v="2"/>
    <x v="1"/>
    <x v="0"/>
    <x v="21"/>
    <x v="3"/>
    <s v="Tenant C"/>
    <n v="107876.25"/>
    <n v="0"/>
    <n v="198"/>
    <n v="113"/>
    <x v="0"/>
    <n v="72"/>
    <s v="Suburban"/>
    <s v="OR"/>
    <s v="Guyed Tower"/>
    <n v="200"/>
    <n v="2018"/>
    <s v="Tenant A"/>
    <n v="94965.15"/>
    <n v="198"/>
    <s v="Rural"/>
    <s v="PA"/>
    <s v="26142.480000000003"/>
    <n v="975"/>
    <n v="175"/>
    <n v="9600"/>
    <s v="2.7231750000000003"/>
    <x v="2"/>
  </r>
  <r>
    <n v="283"/>
    <x v="0"/>
    <x v="1"/>
    <x v="0"/>
    <x v="0"/>
    <x v="4"/>
    <s v="Tenant C"/>
    <n v="122922.96"/>
    <n v="0"/>
    <n v="199"/>
    <n v="10"/>
    <x v="0"/>
    <n v="72"/>
    <s v="Suburban"/>
    <s v="OR"/>
    <s v="SST"/>
    <n v="140"/>
    <n v="2017"/>
    <s v="Tenant C"/>
    <n v="96442"/>
    <n v="199"/>
    <s v="Rural"/>
    <s v="PA"/>
    <n v="35300.120000000003"/>
    <n v="950"/>
    <n v="325"/>
    <n v="7500"/>
    <s v="4.7066826666666675"/>
    <x v="2"/>
  </r>
  <r>
    <n v="287"/>
    <x v="0"/>
    <x v="1"/>
    <x v="0"/>
    <x v="6"/>
    <x v="4"/>
    <s v="Tenant A"/>
    <n v="121669.2"/>
    <n v="0"/>
    <n v="200"/>
    <n v="24"/>
    <x v="0"/>
    <n v="72"/>
    <s v="Suburban"/>
    <s v="PA"/>
    <s v="SST"/>
    <n v="120"/>
    <n v="2017"/>
    <s v="Tenant A"/>
    <n v="97806"/>
    <n v="200"/>
    <s v="Suburban"/>
    <s v="FL"/>
    <n v="112470.6"/>
    <n v="875"/>
    <n v="400"/>
    <n v="5700"/>
    <s v="19.73168421052632"/>
    <x v="1"/>
  </r>
  <r>
    <n v="297"/>
    <x v="0"/>
    <x v="1"/>
    <x v="0"/>
    <x v="21"/>
    <x v="4"/>
    <s v="Tenant A"/>
    <n v="117471.6"/>
    <n v="0"/>
    <n v="201"/>
    <n v="20"/>
    <x v="0"/>
    <n v="72"/>
    <s v="Suburban"/>
    <s v="AZ"/>
    <s v="Monopole"/>
    <n v="120"/>
    <n v="2017"/>
    <s v="Tenant A"/>
    <n v="99848"/>
    <n v="201"/>
    <s v="Suburban"/>
    <s v="TX"/>
    <n v="90472.06"/>
    <n v="825"/>
    <n v="200"/>
    <n v="7500"/>
    <s v="12.062941333333333"/>
    <x v="1"/>
  </r>
  <r>
    <n v="302"/>
    <x v="0"/>
    <x v="3"/>
    <x v="0"/>
    <x v="23"/>
    <x v="4"/>
    <s v="Tenant A"/>
    <n v="97730.4"/>
    <n v="0"/>
    <n v="202"/>
    <n v="50"/>
    <x v="0"/>
    <n v="72"/>
    <s v="Suburban"/>
    <s v="FL"/>
    <s v="SST"/>
    <n v="120"/>
    <n v="2018"/>
    <s v="Tenant A"/>
    <n v="105296.1"/>
    <n v="202"/>
    <s v="Suburban"/>
    <s v="TX"/>
    <n v="107986.44"/>
    <n v="875"/>
    <n v="350"/>
    <n v="6300"/>
    <s v="17.14070476190476"/>
    <x v="1"/>
  </r>
  <r>
    <n v="309"/>
    <x v="1"/>
    <x v="4"/>
    <x v="0"/>
    <x v="12"/>
    <x v="4"/>
    <s v="Tenant B"/>
    <n v="41137.199999999997"/>
    <n v="0"/>
    <n v="203"/>
    <n v="52"/>
    <x v="0"/>
    <n v="72"/>
    <s v="Suburban"/>
    <s v="FL"/>
    <s v="SST"/>
    <n v="150"/>
    <n v="2018"/>
    <s v="Tenant A"/>
    <n v="105608.88"/>
    <n v="203"/>
    <s v="Rural"/>
    <s v="OR"/>
    <n v="35824.68"/>
    <n v="875"/>
    <n v="350"/>
    <n v="6300"/>
    <s v="5.686457142857143"/>
    <x v="0"/>
  </r>
  <r>
    <n v="358"/>
    <x v="1"/>
    <x v="2"/>
    <x v="0"/>
    <x v="17"/>
    <x v="4"/>
    <s v="Tenant A"/>
    <n v="37182"/>
    <n v="0"/>
    <n v="204"/>
    <n v="59"/>
    <x v="0"/>
    <n v="72"/>
    <s v="Suburban"/>
    <s v="OR"/>
    <s v="SST"/>
    <n v="155"/>
    <n v="2018"/>
    <s v="Tenant C"/>
    <n v="110199.7"/>
    <n v="204"/>
    <s v="Suburban"/>
    <s v="AZ"/>
    <n v="106868.14"/>
    <n v="975"/>
    <n v="175"/>
    <n v="9600"/>
    <s v="11.132097916666666"/>
    <x v="1"/>
  </r>
  <r>
    <n v="364"/>
    <x v="2"/>
    <x v="0"/>
    <x v="4"/>
    <x v="1"/>
    <x v="4"/>
    <s v="Tenant D"/>
    <n v="108694.8"/>
    <n v="0"/>
    <n v="205"/>
    <n v="62"/>
    <x v="0"/>
    <n v="71"/>
    <s v="Suburban"/>
    <s v="PA"/>
    <s v="Monopole"/>
    <n v="180"/>
    <n v="2018"/>
    <s v="Tenant C"/>
    <s v="86864.40000000001"/>
    <n v="205"/>
    <s v="Suburban"/>
    <s v="AZ"/>
    <n v="108537.64"/>
    <n v="975"/>
    <n v="425"/>
    <n v="6600"/>
    <s v="16.44509696969697"/>
    <x v="1"/>
  </r>
  <r>
    <n v="365"/>
    <x v="1"/>
    <x v="0"/>
    <x v="0"/>
    <x v="23"/>
    <x v="4"/>
    <s v="Tenant B"/>
    <n v="33969.599999999999"/>
    <n v="0"/>
    <n v="206"/>
    <n v="84"/>
    <x v="0"/>
    <n v="71"/>
    <s v="Suburban"/>
    <s v="FL"/>
    <s v="Monopole"/>
    <n v="170"/>
    <n v="2018"/>
    <s v="Tenant C"/>
    <n v="88603.839999999997"/>
    <n v="206"/>
    <s v="Rural"/>
    <s v="PA"/>
    <n v="21913.38"/>
    <n v="950"/>
    <n v="350"/>
    <n v="7200"/>
    <s v="3.0435250000000003"/>
    <x v="2"/>
  </r>
  <r>
    <n v="386"/>
    <x v="1"/>
    <x v="3"/>
    <x v="0"/>
    <x v="28"/>
    <x v="4"/>
    <s v="Tenant B"/>
    <s v="32908.799999999996"/>
    <n v="0"/>
    <n v="207"/>
    <n v="70"/>
    <x v="0"/>
    <n v="71"/>
    <s v="Suburban"/>
    <s v="OR"/>
    <s v="Monopole"/>
    <n v="170"/>
    <n v="2018"/>
    <s v="Tenant D"/>
    <n v="90702.83"/>
    <n v="207"/>
    <s v="Suburban"/>
    <s v="PA"/>
    <n v="115989.5"/>
    <n v="825"/>
    <n v="300"/>
    <n v="6300"/>
    <s v="18.41103174603175"/>
    <x v="1"/>
  </r>
  <r>
    <n v="390"/>
    <x v="0"/>
    <x v="1"/>
    <x v="0"/>
    <x v="12"/>
    <x v="4"/>
    <s v="Tenant B"/>
    <n v="130543.2"/>
    <n v="0"/>
    <n v="208"/>
    <n v="138"/>
    <x v="0"/>
    <n v="71"/>
    <s v="Suburban"/>
    <s v="TX"/>
    <s v="Monopole"/>
    <n v="115"/>
    <n v="2019"/>
    <s v="Tenant A"/>
    <n v="92045.16"/>
    <n v="208"/>
    <s v="Rural"/>
    <s v="TX"/>
    <n v="26345.52"/>
    <n v="825"/>
    <n v="175"/>
    <n v="7800"/>
    <s v="3.377630769230769"/>
    <x v="2"/>
  </r>
  <r>
    <n v="408"/>
    <x v="0"/>
    <x v="1"/>
    <x v="0"/>
    <x v="22"/>
    <x v="5"/>
    <s v="Tenant D"/>
    <n v="101814.48"/>
    <n v="0"/>
    <n v="209"/>
    <n v="179"/>
    <x v="0"/>
    <n v="71"/>
    <s v="Suburban"/>
    <s v="TX"/>
    <s v="Monopole"/>
    <n v="95"/>
    <n v="2019"/>
    <s v="Tenant B"/>
    <n v="95797.08"/>
    <n v="209"/>
    <s v="Rural"/>
    <s v="PA"/>
    <s v="30456.980000000003"/>
    <n v="825"/>
    <n v="200"/>
    <n v="7500"/>
    <s v="4.060930666666667"/>
    <x v="2"/>
  </r>
  <r>
    <n v="415"/>
    <x v="0"/>
    <x v="2"/>
    <x v="0"/>
    <x v="25"/>
    <x v="5"/>
    <s v="Tenant B"/>
    <n v="103264.65"/>
    <n v="0"/>
    <n v="210"/>
    <n v="167"/>
    <x v="0"/>
    <n v="71"/>
    <s v="Suburban"/>
    <s v="PA"/>
    <s v="SST"/>
    <n v="90"/>
    <n v="2019"/>
    <s v="Tenant C"/>
    <n v="95994.72"/>
    <n v="210"/>
    <s v="Suburban"/>
    <s v="TX"/>
    <n v="117630.7"/>
    <n v="825"/>
    <n v="175"/>
    <n v="7800"/>
    <s v="15.080858974358977"/>
    <x v="1"/>
  </r>
  <r>
    <n v="423"/>
    <x v="0"/>
    <x v="1"/>
    <x v="0"/>
    <x v="19"/>
    <x v="5"/>
    <s v="Tenant C"/>
    <n v="125300.1"/>
    <n v="0"/>
    <n v="211"/>
    <n v="152"/>
    <x v="0"/>
    <n v="71"/>
    <s v="Suburban"/>
    <s v="OR"/>
    <s v="SST"/>
    <n v="90"/>
    <n v="2019"/>
    <s v="Tenant B"/>
    <n v="102749.9"/>
    <n v="211"/>
    <s v="Suburban"/>
    <s v="OR"/>
    <n v="100977.72"/>
    <n v="825"/>
    <n v="425"/>
    <n v="4800"/>
    <n v="21.037025"/>
    <x v="1"/>
  </r>
  <r>
    <n v="427"/>
    <x v="1"/>
    <x v="4"/>
    <x v="0"/>
    <x v="0"/>
    <x v="5"/>
    <s v="Tenant A"/>
    <n v="29895.15"/>
    <n v="0"/>
    <n v="212"/>
    <n v="250"/>
    <x v="0"/>
    <n v="71"/>
    <s v="Suburban"/>
    <s v="AZ"/>
    <s v="Monopole"/>
    <n v="95"/>
    <n v="2019"/>
    <s v="Tenant B"/>
    <n v="107901.72"/>
    <n v="212"/>
    <s v="Suburban"/>
    <s v="TX"/>
    <n v="90944.7"/>
    <n v="875"/>
    <n v="175"/>
    <n v="8400"/>
    <n v="10.826750000000001"/>
    <x v="1"/>
  </r>
  <r>
    <n v="448"/>
    <x v="1"/>
    <x v="4"/>
    <x v="0"/>
    <x v="5"/>
    <x v="5"/>
    <s v="Tenant C"/>
    <n v="48842.07"/>
    <n v="0"/>
    <n v="213"/>
    <n v="111"/>
    <x v="0"/>
    <n v="71"/>
    <s v="Suburban"/>
    <s v="OR"/>
    <s v="Monopole"/>
    <n v="190"/>
    <n v="2018"/>
    <s v="Tenant D"/>
    <n v="108838.8"/>
    <n v="213"/>
    <s v="Rural"/>
    <s v="OR"/>
    <n v="25100.9"/>
    <n v="975"/>
    <n v="275"/>
    <n v="8400"/>
    <s v="2.988202380952381"/>
    <x v="2"/>
  </r>
  <r>
    <n v="463"/>
    <x v="1"/>
    <x v="2"/>
    <x v="0"/>
    <x v="7"/>
    <x v="5"/>
    <s v="Tenant D"/>
    <n v="37098.75"/>
    <n v="0"/>
    <n v="214"/>
    <n v="44"/>
    <x v="0"/>
    <n v="71"/>
    <s v="Suburban"/>
    <s v="PA"/>
    <s v="Monopole"/>
    <n v="185"/>
    <n v="2018"/>
    <s v="Tenant A"/>
    <n v="110680.5"/>
    <n v="214"/>
    <s v="Rural"/>
    <s v="TX"/>
    <n v="23819.4"/>
    <n v="975"/>
    <n v="350"/>
    <n v="7500"/>
    <n v="3.1759200000000001"/>
    <x v="2"/>
  </r>
  <r>
    <n v="473"/>
    <x v="1"/>
    <x v="2"/>
    <x v="1"/>
    <x v="25"/>
    <x v="5"/>
    <s v="Tenant D"/>
    <n v="32447.5"/>
    <n v="0"/>
    <n v="215"/>
    <n v="168"/>
    <x v="0"/>
    <n v="71"/>
    <s v="Suburban"/>
    <s v="OR"/>
    <s v="SST"/>
    <n v="90"/>
    <n v="2019"/>
    <s v="Tenant C"/>
    <n v="113217.54"/>
    <n v="215"/>
    <s v="Suburban"/>
    <s v="AZ"/>
    <n v="103862.52"/>
    <n v="950"/>
    <n v="275"/>
    <n v="8100"/>
    <s v="12.822533333333334"/>
    <x v="1"/>
  </r>
  <r>
    <n v="494"/>
    <x v="1"/>
    <x v="2"/>
    <x v="0"/>
    <x v="29"/>
    <x v="5"/>
    <s v="Tenant C"/>
    <n v="44408.75"/>
    <n v="0"/>
    <n v="216"/>
    <n v="197"/>
    <x v="0"/>
    <n v="71"/>
    <s v="Suburban"/>
    <s v="FL"/>
    <s v="SST"/>
    <n v="95"/>
    <n v="2019"/>
    <s v="Tenant B"/>
    <n v="115262.28"/>
    <n v="216"/>
    <s v="Suburban"/>
    <s v="AZ"/>
    <n v="88853.440000000002"/>
    <n v="950"/>
    <n v="400"/>
    <n v="6600"/>
    <s v="13.462642424242423"/>
    <x v="1"/>
  </r>
  <r>
    <n v="495"/>
    <x v="1"/>
    <x v="3"/>
    <x v="0"/>
    <x v="31"/>
    <x v="5"/>
    <s v="Tenant D"/>
    <n v="44121.25"/>
    <n v="0"/>
    <n v="217"/>
    <n v="472"/>
    <x v="0"/>
    <n v="71"/>
    <s v="Suburban"/>
    <s v="FL"/>
    <s v="Guyed Tower"/>
    <n v="140"/>
    <n v="2022"/>
    <s v="Tenant D"/>
    <n v="117221.25"/>
    <n v="217"/>
    <s v="Urban"/>
    <s v="FL"/>
    <n v="110802.86"/>
    <n v="950"/>
    <n v="350"/>
    <n v="7200"/>
    <s v="15.389286111111112"/>
    <x v="1"/>
  </r>
  <r>
    <n v="15"/>
    <x v="0"/>
    <x v="0"/>
    <x v="1"/>
    <x v="8"/>
    <x v="0"/>
    <s v="Tenant C"/>
    <n v="102348"/>
    <n v="0"/>
    <n v="218"/>
    <n v="404"/>
    <x v="0"/>
    <n v="70"/>
    <s v="Rural"/>
    <s v="OR"/>
    <s v="SST"/>
    <n v="210"/>
    <n v="2021"/>
    <s v="Tenant C"/>
    <n v="24715.200000000001"/>
    <n v="218"/>
    <s v="Rural"/>
    <s v="FL"/>
    <s v="35850.600000000006"/>
    <n v="825"/>
    <n v="350"/>
    <n v="5700"/>
    <s v="6.2895789473684225"/>
    <x v="0"/>
  </r>
  <r>
    <n v="26"/>
    <x v="0"/>
    <x v="2"/>
    <x v="0"/>
    <x v="22"/>
    <x v="0"/>
    <s v="Tenant B"/>
    <n v="105910"/>
    <n v="0"/>
    <n v="219"/>
    <n v="288"/>
    <x v="0"/>
    <n v="70"/>
    <s v="Rural"/>
    <s v="PA"/>
    <s v="SST"/>
    <n v="215"/>
    <n v="2021"/>
    <s v="Tenant A"/>
    <n v="25816.799999999999"/>
    <n v="219"/>
    <s v="Rural"/>
    <s v="TX"/>
    <n v="31851.94"/>
    <n v="825"/>
    <n v="175"/>
    <n v="7800"/>
    <s v="4.083582051282051"/>
    <x v="2"/>
  </r>
  <r>
    <n v="48"/>
    <x v="0"/>
    <x v="3"/>
    <x v="1"/>
    <x v="1"/>
    <x v="1"/>
    <s v="Tenant A"/>
    <n v="95682.3"/>
    <n v="0"/>
    <n v="220"/>
    <n v="350"/>
    <x v="0"/>
    <n v="70"/>
    <s v="Rural"/>
    <s v="OR"/>
    <s v="SST"/>
    <n v="220"/>
    <n v="2021"/>
    <s v="Tenant A"/>
    <n v="27264"/>
    <n v="220"/>
    <s v="Suburban"/>
    <s v="TX"/>
    <n v="93743.22"/>
    <n v="875"/>
    <n v="350"/>
    <n v="6300"/>
    <s v="14.87987619047619"/>
    <x v="1"/>
  </r>
  <r>
    <n v="52"/>
    <x v="0"/>
    <x v="1"/>
    <x v="0"/>
    <x v="24"/>
    <x v="1"/>
    <s v="Tenant A"/>
    <n v="105608.88"/>
    <n v="0"/>
    <n v="221"/>
    <n v="285"/>
    <x v="0"/>
    <n v="70"/>
    <s v="Rural"/>
    <s v="OR"/>
    <s v="SST"/>
    <n v="215"/>
    <n v="2021"/>
    <s v="Tenant D"/>
    <s v="30799.179999999997"/>
    <n v="221"/>
    <s v="Rural"/>
    <s v="FL"/>
    <n v="31720.68"/>
    <n v="950"/>
    <n v="275"/>
    <n v="8100"/>
    <s v="3.916133333333333"/>
    <x v="2"/>
  </r>
  <r>
    <n v="61"/>
    <x v="1"/>
    <x v="0"/>
    <x v="0"/>
    <x v="21"/>
    <x v="1"/>
    <s v="Tenant D"/>
    <n v="21848.400000000001"/>
    <n v="0"/>
    <n v="222"/>
    <n v="386"/>
    <x v="0"/>
    <n v="70"/>
    <s v="Rural"/>
    <s v="OR"/>
    <s v="SST"/>
    <n v="245"/>
    <n v="2021"/>
    <s v="Tenant B"/>
    <s v="32908.799999999996"/>
    <n v="222"/>
    <s v="Rural"/>
    <s v="TX"/>
    <s v="41977.060000000005"/>
    <n v="825"/>
    <n v="225"/>
    <n v="7200"/>
    <s v="5.830147222222223"/>
    <x v="0"/>
  </r>
  <r>
    <n v="78"/>
    <x v="0"/>
    <x v="1"/>
    <x v="1"/>
    <x v="5"/>
    <x v="1"/>
    <s v="Tenant B"/>
    <n v="99832.95"/>
    <n v="0"/>
    <n v="223"/>
    <n v="466"/>
    <x v="0"/>
    <n v="70"/>
    <s v="Rural"/>
    <s v="PA"/>
    <s v="SST"/>
    <n v="200"/>
    <n v="2022"/>
    <s v="Tenant C"/>
    <n v="32921.25"/>
    <n v="223"/>
    <s v="Rural"/>
    <s v="AZ"/>
    <n v="22600.6"/>
    <n v="950"/>
    <n v="225"/>
    <n v="8700"/>
    <s v="2.597770114942529"/>
    <x v="2"/>
  </r>
  <r>
    <n v="85"/>
    <x v="1"/>
    <x v="4"/>
    <x v="0"/>
    <x v="23"/>
    <x v="1"/>
    <s v="Tenant C"/>
    <n v="36601.949999999997"/>
    <n v="0"/>
    <n v="224"/>
    <n v="358"/>
    <x v="0"/>
    <n v="70"/>
    <s v="Rural"/>
    <s v="PA"/>
    <s v="SST"/>
    <n v="220"/>
    <n v="2021"/>
    <s v="Tenant A"/>
    <n v="37182"/>
    <n v="224"/>
    <s v="Suburban"/>
    <s v="FL"/>
    <n v="95760.4"/>
    <n v="975"/>
    <n v="150"/>
    <n v="9900"/>
    <s v="9.672767676767675"/>
    <x v="0"/>
  </r>
  <r>
    <n v="89"/>
    <x v="1"/>
    <x v="3"/>
    <x v="1"/>
    <x v="13"/>
    <x v="1"/>
    <s v="Tenant B"/>
    <n v="38249.4"/>
    <n v="0"/>
    <n v="225"/>
    <n v="437"/>
    <x v="0"/>
    <n v="70"/>
    <s v="Rural"/>
    <s v="FL"/>
    <s v="SST"/>
    <n v="230"/>
    <n v="2022"/>
    <s v="Tenant A"/>
    <n v="38195.19"/>
    <n v="225"/>
    <s v="Urban"/>
    <s v="PA"/>
    <n v="105150.96"/>
    <n v="875"/>
    <m/>
    <n v="10500"/>
    <s v="10.014377142857144"/>
    <x v="1"/>
  </r>
  <r>
    <n v="105"/>
    <x v="1"/>
    <x v="2"/>
    <x v="0"/>
    <x v="27"/>
    <x v="1"/>
    <s v="Tenant D"/>
    <n v="33072.9"/>
    <n v="0"/>
    <n v="226"/>
    <n v="356"/>
    <x v="0"/>
    <n v="70"/>
    <s v="Rural"/>
    <s v="TX"/>
    <s v="Monopole"/>
    <n v="240"/>
    <n v="2021"/>
    <s v="Tenant B"/>
    <n v="38506.800000000003"/>
    <n v="226"/>
    <s v="Suburban"/>
    <s v="TX"/>
    <n v="114874.32"/>
    <n v="875"/>
    <n v="150"/>
    <n v="8700"/>
    <s v="13.203944827586207"/>
    <x v="1"/>
  </r>
  <r>
    <n v="122"/>
    <x v="0"/>
    <x v="1"/>
    <x v="1"/>
    <x v="0"/>
    <x v="2"/>
    <s v="Tenant C"/>
    <n v="102498"/>
    <n v="0"/>
    <n v="227"/>
    <n v="336"/>
    <x v="0"/>
    <n v="70"/>
    <s v="Rural"/>
    <s v="OR"/>
    <s v="SST"/>
    <n v="225"/>
    <n v="2021"/>
    <s v="Tenant A"/>
    <n v="38684.400000000001"/>
    <n v="227"/>
    <s v="Rural"/>
    <s v="AZ"/>
    <n v="30646.080000000002"/>
    <n v="975"/>
    <n v="325"/>
    <n v="7800"/>
    <s v="3.928984615384615"/>
    <x v="2"/>
  </r>
  <r>
    <n v="123"/>
    <x v="1"/>
    <x v="4"/>
    <x v="1"/>
    <x v="27"/>
    <x v="2"/>
    <s v="Tenant A"/>
    <s v="35134.560000000005"/>
    <n v="0"/>
    <n v="228"/>
    <n v="462"/>
    <x v="0"/>
    <n v="70"/>
    <s v="Rural"/>
    <s v="PA"/>
    <s v="SST"/>
    <n v="205"/>
    <n v="2022"/>
    <s v="Tenant A"/>
    <n v="38717.5"/>
    <n v="228"/>
    <s v="Rural"/>
    <s v="OR"/>
    <n v="36587.160000000003"/>
    <n v="950"/>
    <n v="325"/>
    <n v="7500"/>
    <n v="4.8782880000000004"/>
    <x v="2"/>
  </r>
  <r>
    <n v="131"/>
    <x v="0"/>
    <x v="4"/>
    <x v="1"/>
    <x v="9"/>
    <x v="2"/>
    <s v="Tenant D"/>
    <n v="116247.96"/>
    <n v="0"/>
    <n v="229"/>
    <n v="331"/>
    <x v="0"/>
    <n v="70"/>
    <s v="Rural"/>
    <s v="OR"/>
    <s v="SST"/>
    <n v="205"/>
    <n v="2021"/>
    <s v="Tenant C"/>
    <n v="39892.800000000003"/>
    <n v="229"/>
    <s v="Suburban"/>
    <s v="FL"/>
    <n v="89547.74"/>
    <n v="825"/>
    <n v="325"/>
    <n v="6000"/>
    <s v="14.924623333333336"/>
    <x v="1"/>
  </r>
  <r>
    <n v="133"/>
    <x v="2"/>
    <x v="3"/>
    <x v="0"/>
    <x v="6"/>
    <x v="2"/>
    <s v="Tenant B"/>
    <n v="107933.44"/>
    <n v="0"/>
    <n v="230"/>
    <n v="490"/>
    <x v="0"/>
    <n v="70"/>
    <s v="Rural"/>
    <s v="PA"/>
    <s v="SST"/>
    <n v="215"/>
    <n v="2022"/>
    <s v="Tenant D"/>
    <n v="40152.5"/>
    <n v="230"/>
    <s v="Suburban"/>
    <s v="PA"/>
    <n v="102936.6"/>
    <n v="975"/>
    <m/>
    <n v="11700"/>
    <n v="8.798"/>
    <x v="0"/>
  </r>
  <r>
    <n v="137"/>
    <x v="0"/>
    <x v="3"/>
    <x v="0"/>
    <x v="10"/>
    <x v="2"/>
    <s v="Tenant B"/>
    <n v="91494.36"/>
    <n v="0"/>
    <n v="231"/>
    <n v="416"/>
    <x v="0"/>
    <n v="70"/>
    <s v="Rural"/>
    <s v="AZ"/>
    <s v="Monopole"/>
    <n v="230"/>
    <n v="2022"/>
    <s v="Tenant B"/>
    <n v="42002.04"/>
    <n v="231"/>
    <s v="Rural"/>
    <s v="TX"/>
    <n v="41497.94"/>
    <n v="875"/>
    <n v="250"/>
    <n v="7500"/>
    <s v="5.533058666666667"/>
    <x v="0"/>
  </r>
  <r>
    <n v="138"/>
    <x v="0"/>
    <x v="4"/>
    <x v="1"/>
    <x v="11"/>
    <x v="2"/>
    <s v="Tenant A"/>
    <n v="92045.16"/>
    <n v="0"/>
    <n v="232"/>
    <n v="360"/>
    <x v="0"/>
    <n v="70"/>
    <s v="Rural"/>
    <s v="PA"/>
    <s v="SST"/>
    <n v="215"/>
    <n v="2021"/>
    <s v="Tenant B"/>
    <n v="42669.599999999999"/>
    <n v="232"/>
    <s v="Suburban"/>
    <s v="PA"/>
    <n v="106021.44"/>
    <n v="825"/>
    <n v="175"/>
    <n v="7800"/>
    <s v="13.592492307692307"/>
    <x v="1"/>
  </r>
  <r>
    <n v="145"/>
    <x v="1"/>
    <x v="1"/>
    <x v="0"/>
    <x v="2"/>
    <x v="2"/>
    <s v="Tenant B"/>
    <n v="28924.22"/>
    <n v="0"/>
    <n v="233"/>
    <n v="494"/>
    <x v="0"/>
    <n v="70"/>
    <s v="Rural"/>
    <s v="PA"/>
    <s v="SST"/>
    <n v="235"/>
    <n v="2022"/>
    <s v="Tenant C"/>
    <n v="44408.75"/>
    <n v="233"/>
    <s v="Urban"/>
    <s v="TX"/>
    <n v="101233.18"/>
    <n v="875"/>
    <n v="375"/>
    <n v="6000"/>
    <s v="16.872196666666667"/>
    <x v="1"/>
  </r>
  <r>
    <n v="161"/>
    <x v="1"/>
    <x v="0"/>
    <x v="0"/>
    <x v="27"/>
    <x v="2"/>
    <s v="Tenant C"/>
    <n v="37293.300000000003"/>
    <n v="0"/>
    <n v="234"/>
    <n v="381"/>
    <x v="0"/>
    <n v="70"/>
    <s v="Rural"/>
    <s v="OR"/>
    <s v="SST"/>
    <n v="225"/>
    <n v="2021"/>
    <s v="Tenant B"/>
    <n v="46520.4"/>
    <n v="234"/>
    <s v="Rural"/>
    <s v="AZ"/>
    <n v="23569.7"/>
    <n v="975"/>
    <n v="225"/>
    <n v="9000"/>
    <s v="2.6188555555555557"/>
    <x v="2"/>
  </r>
  <r>
    <n v="164"/>
    <x v="0"/>
    <x v="3"/>
    <x v="1"/>
    <x v="0"/>
    <x v="2"/>
    <s v="Tenant C"/>
    <n v="94298.66"/>
    <n v="0"/>
    <n v="235"/>
    <n v="441"/>
    <x v="0"/>
    <n v="70"/>
    <s v="Rural"/>
    <s v="PA"/>
    <s v="SST"/>
    <n v="210"/>
    <n v="2022"/>
    <s v="Tenant D"/>
    <n v="46593.63"/>
    <n v="235"/>
    <s v="Suburban"/>
    <s v="TX"/>
    <n v="105589.78"/>
    <n v="875"/>
    <n v="325"/>
    <n v="6600"/>
    <s v="15.998451515151515"/>
    <x v="1"/>
  </r>
  <r>
    <n v="165"/>
    <x v="0"/>
    <x v="1"/>
    <x v="0"/>
    <x v="27"/>
    <x v="2"/>
    <s v="Tenant C"/>
    <n v="112656.96000000001"/>
    <n v="0"/>
    <n v="236"/>
    <n v="232"/>
    <x v="0"/>
    <n v="70"/>
    <s v="Suburban"/>
    <s v="PA"/>
    <s v="Monopole"/>
    <n v="145"/>
    <n v="2019"/>
    <s v="Tenant D"/>
    <n v="106021.44"/>
    <n v="236"/>
    <s v="Urban"/>
    <s v="OR"/>
    <n v="107577.8"/>
    <n v="950"/>
    <n v="400"/>
    <n v="6600"/>
    <s v="16.299666666666667"/>
    <x v="1"/>
  </r>
  <r>
    <n v="167"/>
    <x v="0"/>
    <x v="2"/>
    <x v="0"/>
    <x v="14"/>
    <x v="2"/>
    <s v="Tenant C"/>
    <n v="95994.72"/>
    <n v="0"/>
    <n v="237"/>
    <n v="189"/>
    <x v="0"/>
    <n v="70"/>
    <s v="Suburban"/>
    <s v="FL"/>
    <s v="Monopole"/>
    <n v="135"/>
    <n v="2019"/>
    <s v="Tenant D"/>
    <n v="112124.68"/>
    <n v="237"/>
    <s v="Rural"/>
    <s v="OR"/>
    <s v="42262.560000000005"/>
    <n v="950"/>
    <n v="275"/>
    <n v="8100"/>
    <s v="5.217600000000001"/>
    <x v="0"/>
  </r>
  <r>
    <n v="203"/>
    <x v="1"/>
    <x v="3"/>
    <x v="1"/>
    <x v="5"/>
    <x v="2"/>
    <s v="Tenant B"/>
    <n v="35824.68"/>
    <n v="0"/>
    <n v="238"/>
    <n v="61"/>
    <x v="0"/>
    <n v="69"/>
    <s v="Rural"/>
    <s v="AZ"/>
    <s v="SST"/>
    <n v="225"/>
    <n v="2018"/>
    <s v="Tenant D"/>
    <n v="21848.400000000001"/>
    <n v="238"/>
    <s v="Suburban"/>
    <s v="OR"/>
    <n v="91218.96"/>
    <n v="950"/>
    <n v="350"/>
    <n v="7200"/>
    <s v="12.669300000000002"/>
    <x v="1"/>
  </r>
  <r>
    <n v="212"/>
    <x v="0"/>
    <x v="4"/>
    <x v="0"/>
    <x v="6"/>
    <x v="2"/>
    <s v="Tenant B"/>
    <n v="90944.7"/>
    <n v="0"/>
    <n v="239"/>
    <n v="56"/>
    <x v="0"/>
    <n v="69"/>
    <s v="Rural"/>
    <s v="TX"/>
    <s v="SST"/>
    <n v="220"/>
    <n v="2018"/>
    <s v="Tenant D"/>
    <n v="26795.599999999999"/>
    <n v="239"/>
    <s v="Urban"/>
    <s v="FL"/>
    <n v="90693"/>
    <n v="825"/>
    <n v="425"/>
    <n v="4800"/>
    <n v="18.894375"/>
    <x v="1"/>
  </r>
  <r>
    <n v="214"/>
    <x v="1"/>
    <x v="4"/>
    <x v="1"/>
    <x v="11"/>
    <x v="2"/>
    <s v="Tenant C"/>
    <n v="23819.4"/>
    <n v="0"/>
    <n v="240"/>
    <n v="161"/>
    <x v="0"/>
    <n v="69"/>
    <s v="Rural"/>
    <s v="AZ"/>
    <s v="SST"/>
    <n v="160"/>
    <n v="2019"/>
    <s v="Tenant C"/>
    <n v="37293.300000000003"/>
    <n v="240"/>
    <s v="Rural"/>
    <s v="OR"/>
    <n v="35835.42"/>
    <n v="950"/>
    <n v="250"/>
    <n v="8400"/>
    <s v="4.266121428571428"/>
    <x v="2"/>
  </r>
  <r>
    <n v="225"/>
    <x v="2"/>
    <x v="2"/>
    <x v="1"/>
    <x v="17"/>
    <x v="2"/>
    <s v="Tenant B"/>
    <n v="105150.96"/>
    <n v="0"/>
    <n v="241"/>
    <n v="97"/>
    <x v="0"/>
    <n v="69"/>
    <s v="Rural"/>
    <s v="AZ"/>
    <s v="SST"/>
    <n v="205"/>
    <n v="2018"/>
    <s v="Tenant D"/>
    <n v="37352.699999999997"/>
    <n v="241"/>
    <s v="Suburban"/>
    <s v="OR"/>
    <n v="109946.16"/>
    <n v="825"/>
    <n v="325"/>
    <n v="6000"/>
    <n v="18.324359999999999"/>
    <x v="1"/>
  </r>
  <r>
    <n v="233"/>
    <x v="2"/>
    <x v="4"/>
    <x v="0"/>
    <x v="2"/>
    <x v="2"/>
    <s v="Tenant B"/>
    <n v="101233.18"/>
    <n v="0"/>
    <n v="242"/>
    <n v="272"/>
    <x v="0"/>
    <n v="69"/>
    <s v="Rural"/>
    <s v="TX"/>
    <s v="SST"/>
    <n v="165"/>
    <n v="2020"/>
    <s v="Tenant C"/>
    <n v="39625"/>
    <n v="242"/>
    <s v="Urban"/>
    <s v="FL"/>
    <n v="100640.64"/>
    <n v="975"/>
    <n v="350"/>
    <n v="7500"/>
    <n v="13.418752"/>
    <x v="1"/>
  </r>
  <r>
    <n v="261"/>
    <x v="1"/>
    <x v="0"/>
    <x v="0"/>
    <x v="11"/>
    <x v="3"/>
    <s v="Tenant D"/>
    <n v="35066.25"/>
    <n v="0"/>
    <n v="243"/>
    <n v="242"/>
    <x v="0"/>
    <n v="69"/>
    <s v="Urban"/>
    <s v="FL"/>
    <s v="Stealth - Flagpole"/>
    <n v="160"/>
    <n v="2019"/>
    <s v="Tenant C"/>
    <n v="100640.64"/>
    <n v="243"/>
    <s v="Rural"/>
    <s v="OR"/>
    <s v="39854.100000000006"/>
    <n v="825"/>
    <n v="300"/>
    <n v="6300"/>
    <n v="6.3260476190476203"/>
    <x v="0"/>
  </r>
  <r>
    <n v="278"/>
    <x v="1"/>
    <x v="1"/>
    <x v="0"/>
    <x v="0"/>
    <x v="4"/>
    <s v="Tenant D"/>
    <n v="23819.48"/>
    <n v="0"/>
    <n v="244"/>
    <n v="101"/>
    <x v="0"/>
    <n v="69"/>
    <s v="Urban"/>
    <s v="FL"/>
    <s v="Stealth - Flagpole"/>
    <n v="240"/>
    <n v="2018"/>
    <s v="Tenant A"/>
    <n v="106028"/>
    <n v="244"/>
    <s v="Rural"/>
    <s v="TX"/>
    <n v="41961.16"/>
    <n v="975"/>
    <n v="350"/>
    <n v="7500"/>
    <s v="5.594821333333334"/>
    <x v="0"/>
  </r>
  <r>
    <n v="284"/>
    <x v="0"/>
    <x v="3"/>
    <x v="0"/>
    <x v="17"/>
    <x v="4"/>
    <s v="Tenant A"/>
    <n v="104505.52"/>
    <n v="0"/>
    <n v="245"/>
    <n v="196"/>
    <x v="0"/>
    <n v="69"/>
    <s v="Urban"/>
    <s v="FL"/>
    <s v="Stealth - Flagpole"/>
    <n v="165"/>
    <n v="2019"/>
    <s v="Tenant C"/>
    <n v="106497.14"/>
    <n v="245"/>
    <s v="Rural"/>
    <s v="TX"/>
    <n v="27254.880000000001"/>
    <n v="975"/>
    <n v="325"/>
    <n v="7800"/>
    <s v="3.494215384615385"/>
    <x v="2"/>
  </r>
  <r>
    <n v="285"/>
    <x v="1"/>
    <x v="3"/>
    <x v="0"/>
    <x v="6"/>
    <x v="4"/>
    <s v="Tenant D"/>
    <s v="30799.179999999997"/>
    <n v="0"/>
    <n v="246"/>
    <n v="398"/>
    <x v="0"/>
    <n v="69"/>
    <s v="Suburban"/>
    <s v="OR"/>
    <s v="Monopole"/>
    <n v="105"/>
    <n v="2021"/>
    <s v="Tenant C"/>
    <n v="108384"/>
    <n v="246"/>
    <s v="Rural"/>
    <s v="PA"/>
    <s v="37101.060000000005"/>
    <n v="975"/>
    <n v="375"/>
    <n v="7200"/>
    <s v="5.152925000000001"/>
    <x v="0"/>
  </r>
  <r>
    <n v="289"/>
    <x v="1"/>
    <x v="2"/>
    <x v="1"/>
    <x v="15"/>
    <x v="4"/>
    <s v="Tenant B"/>
    <n v="41454"/>
    <n v="0"/>
    <n v="247"/>
    <n v="422"/>
    <x v="0"/>
    <n v="69"/>
    <s v="Suburban"/>
    <s v="PA"/>
    <s v="Monopole"/>
    <n v="110"/>
    <n v="2022"/>
    <s v="Tenant C"/>
    <n v="109419.57"/>
    <n v="247"/>
    <s v="Rural"/>
    <s v="TX"/>
    <n v="30556.44"/>
    <n v="825"/>
    <n v="250"/>
    <n v="6900"/>
    <s v="4.428469565217392"/>
    <x v="2"/>
  </r>
  <r>
    <n v="296"/>
    <x v="0"/>
    <x v="1"/>
    <x v="0"/>
    <x v="12"/>
    <x v="4"/>
    <s v="Tenant B"/>
    <n v="106387.2"/>
    <n v="0"/>
    <n v="248"/>
    <n v="440"/>
    <x v="0"/>
    <n v="69"/>
    <s v="Suburban"/>
    <s v="PA"/>
    <s v="Monopole"/>
    <n v="90"/>
    <n v="2022"/>
    <s v="Tenant B"/>
    <n v="129393.54"/>
    <n v="248"/>
    <s v="Rural"/>
    <s v="OR"/>
    <n v="38049.480000000003"/>
    <n v="975"/>
    <n v="325"/>
    <n v="7800"/>
    <s v="4.8781384615384615"/>
    <x v="2"/>
  </r>
  <r>
    <n v="298"/>
    <x v="0"/>
    <x v="2"/>
    <x v="1"/>
    <x v="23"/>
    <x v="4"/>
    <s v="Tenant D"/>
    <n v="111411.6"/>
    <n v="0"/>
    <n v="249"/>
    <n v="365"/>
    <x v="0"/>
    <n v="68"/>
    <s v="Rural"/>
    <s v="AZ"/>
    <s v="SST"/>
    <n v="155"/>
    <n v="2021"/>
    <s v="Tenant B"/>
    <n v="33969.599999999999"/>
    <n v="249"/>
    <s v="Rural"/>
    <s v="PA"/>
    <s v="27244.120000000003"/>
    <n v="950"/>
    <n v="225"/>
    <n v="8700"/>
    <s v="3.1315080459770117"/>
    <x v="2"/>
  </r>
  <r>
    <n v="303"/>
    <x v="0"/>
    <x v="0"/>
    <x v="1"/>
    <x v="22"/>
    <x v="4"/>
    <s v="Tenant D"/>
    <n v="96496.8"/>
    <n v="0"/>
    <n v="250"/>
    <n v="305"/>
    <x v="0"/>
    <n v="68"/>
    <s v="Rural"/>
    <s v="TX"/>
    <s v="SST"/>
    <n v="125"/>
    <n v="2021"/>
    <s v="Tenant B"/>
    <n v="34915.199999999997"/>
    <n v="250"/>
    <s v="Suburban"/>
    <s v="AZ"/>
    <n v="107901.72"/>
    <n v="875"/>
    <n v="425"/>
    <n v="5400"/>
    <n v="19.9818"/>
    <x v="1"/>
  </r>
  <r>
    <n v="314"/>
    <x v="1"/>
    <x v="0"/>
    <x v="0"/>
    <x v="4"/>
    <x v="4"/>
    <s v="Tenant A"/>
    <n v="30674.400000000001"/>
    <n v="0"/>
    <n v="251"/>
    <n v="349"/>
    <x v="0"/>
    <n v="68"/>
    <s v="Rural"/>
    <s v="TX"/>
    <s v="SST"/>
    <n v="120"/>
    <n v="2021"/>
    <s v="Tenant B"/>
    <n v="37940.400000000001"/>
    <n v="251"/>
    <s v="Rural"/>
    <s v="FL"/>
    <s v="28901.960000000003"/>
    <n v="875"/>
    <n v="150"/>
    <n v="8700"/>
    <s v="3.3220643678160924"/>
    <x v="2"/>
  </r>
  <r>
    <n v="325"/>
    <x v="0"/>
    <x v="3"/>
    <x v="0"/>
    <x v="22"/>
    <x v="4"/>
    <s v="Tenant C"/>
    <n v="97430.399999999994"/>
    <n v="0"/>
    <n v="252"/>
    <n v="481"/>
    <x v="0"/>
    <n v="68"/>
    <s v="Rural"/>
    <s v="TX"/>
    <s v="SST"/>
    <n v="135"/>
    <n v="2022"/>
    <s v="Tenant A"/>
    <n v="43270"/>
    <n v="252"/>
    <s v="Urban"/>
    <s v="FL"/>
    <n v="116251.26"/>
    <n v="975"/>
    <n v="350"/>
    <n v="7500"/>
    <n v="15.500168"/>
    <x v="1"/>
  </r>
  <r>
    <n v="330"/>
    <x v="0"/>
    <x v="1"/>
    <x v="0"/>
    <x v="31"/>
    <x v="4"/>
    <s v="Tenant C"/>
    <n v="131312.4"/>
    <n v="0"/>
    <n v="253"/>
    <n v="430"/>
    <x v="0"/>
    <n v="68"/>
    <s v="Rural"/>
    <s v="TX"/>
    <s v="SST"/>
    <n v="140"/>
    <n v="2022"/>
    <s v="Tenant A"/>
    <n v="43512.480000000003"/>
    <n v="253"/>
    <s v="Rural"/>
    <s v="PA"/>
    <n v="32231.42"/>
    <n v="825"/>
    <n v="150"/>
    <n v="8100"/>
    <s v="3.979187654320988"/>
    <x v="2"/>
  </r>
  <r>
    <n v="339"/>
    <x v="0"/>
    <x v="1"/>
    <x v="0"/>
    <x v="3"/>
    <x v="4"/>
    <s v="Tenant A"/>
    <n v="111172.8"/>
    <n v="0"/>
    <n v="254"/>
    <n v="493"/>
    <x v="0"/>
    <n v="68"/>
    <s v="Rural"/>
    <s v="TX"/>
    <s v="SST"/>
    <n v="145"/>
    <n v="2022"/>
    <s v="Tenant A"/>
    <n v="46676.25"/>
    <n v="254"/>
    <s v="Rural"/>
    <s v="TX"/>
    <n v="29835.82"/>
    <n v="950"/>
    <n v="225"/>
    <n v="8700"/>
    <n v="3.4294045977011498"/>
    <x v="2"/>
  </r>
  <r>
    <n v="342"/>
    <x v="1"/>
    <x v="2"/>
    <x v="0"/>
    <x v="22"/>
    <x v="4"/>
    <s v="Tenant C"/>
    <n v="27154.799999999999"/>
    <n v="0"/>
    <n v="255"/>
    <n v="448"/>
    <x v="0"/>
    <n v="68"/>
    <s v="Rural"/>
    <s v="TX"/>
    <s v="SST"/>
    <n v="140"/>
    <n v="2022"/>
    <s v="Tenant C"/>
    <n v="48842.07"/>
    <n v="255"/>
    <s v="Rural"/>
    <s v="PA"/>
    <n v="34105"/>
    <n v="825"/>
    <n v="325"/>
    <n v="6000"/>
    <s v="5.684166666666667"/>
    <x v="0"/>
  </r>
  <r>
    <n v="351"/>
    <x v="0"/>
    <x v="0"/>
    <x v="1"/>
    <x v="25"/>
    <x v="4"/>
    <s v="Tenant C"/>
    <n v="126897.60000000001"/>
    <n v="0"/>
    <n v="256"/>
    <n v="461"/>
    <x v="0"/>
    <n v="68"/>
    <s v="Rural"/>
    <s v="TX"/>
    <s v="SST"/>
    <n v="125"/>
    <n v="2022"/>
    <s v="Tenant C"/>
    <n v="48907.26"/>
    <n v="256"/>
    <s v="Rural"/>
    <s v="PA"/>
    <n v="30325"/>
    <n v="875"/>
    <n v="350"/>
    <n v="6300"/>
    <s v="4.813492063492063"/>
    <x v="2"/>
  </r>
  <r>
    <n v="374"/>
    <x v="1"/>
    <x v="2"/>
    <x v="1"/>
    <x v="15"/>
    <x v="4"/>
    <s v="Tenant C"/>
    <s v="35860.799999999996"/>
    <n v="0"/>
    <n v="257"/>
    <n v="278"/>
    <x v="0"/>
    <n v="67"/>
    <s v="Rural"/>
    <s v="FL"/>
    <s v="SST"/>
    <n v="185"/>
    <n v="2021"/>
    <s v="Tenant D"/>
    <n v="23819.48"/>
    <n v="257"/>
    <s v="Rural"/>
    <s v="PA"/>
    <n v="32822.5"/>
    <n v="875"/>
    <n v="175"/>
    <n v="8400"/>
    <s v="3.907440476190476"/>
    <x v="2"/>
  </r>
  <r>
    <n v="385"/>
    <x v="0"/>
    <x v="0"/>
    <x v="0"/>
    <x v="20"/>
    <x v="4"/>
    <s v="Tenant A"/>
    <n v="111139.2"/>
    <n v="0"/>
    <n v="258"/>
    <n v="208"/>
    <x v="0"/>
    <n v="67"/>
    <s v="Rural"/>
    <s v="TX"/>
    <s v="Monopole"/>
    <n v="215"/>
    <n v="2019"/>
    <s v="Tenant D"/>
    <n v="26345.52"/>
    <n v="258"/>
    <s v="Suburban"/>
    <s v="AZ"/>
    <n v="108071.25"/>
    <n v="875"/>
    <n v="250"/>
    <n v="7500"/>
    <n v="14.4095"/>
    <x v="1"/>
  </r>
  <r>
    <n v="396"/>
    <x v="1"/>
    <x v="4"/>
    <x v="1"/>
    <x v="0"/>
    <x v="4"/>
    <s v="Tenant A"/>
    <n v="27524.400000000001"/>
    <n v="0"/>
    <n v="259"/>
    <n v="497"/>
    <x v="0"/>
    <n v="67"/>
    <s v="Rural"/>
    <s v="PA"/>
    <s v="SST"/>
    <n v="165"/>
    <n v="2022"/>
    <s v="Tenant B"/>
    <n v="27095"/>
    <n v="259"/>
    <s v="Urban"/>
    <s v="AZ"/>
    <n v="134545"/>
    <n v="950"/>
    <n v="400"/>
    <n v="6600"/>
    <s v="20.38560606060606"/>
    <x v="1"/>
  </r>
  <r>
    <n v="407"/>
    <x v="0"/>
    <x v="3"/>
    <x v="0"/>
    <x v="29"/>
    <x v="5"/>
    <s v="Tenant B"/>
    <n v="119570.76"/>
    <n v="0"/>
    <n v="260"/>
    <n v="431"/>
    <x v="0"/>
    <n v="67"/>
    <s v="Rural"/>
    <s v="OR"/>
    <s v="SST"/>
    <n v="180"/>
    <n v="2022"/>
    <s v="Tenant B"/>
    <n v="27138.720000000001"/>
    <n v="260"/>
    <s v="Suburban"/>
    <s v="FL"/>
    <n v="134225"/>
    <n v="950"/>
    <n v="375"/>
    <n v="6900"/>
    <s v="19.452898550724637"/>
    <x v="1"/>
  </r>
  <r>
    <n v="420"/>
    <x v="1"/>
    <x v="4"/>
    <x v="1"/>
    <x v="7"/>
    <x v="5"/>
    <s v="Tenant A"/>
    <n v="37131.24"/>
    <n v="0"/>
    <n v="261"/>
    <n v="342"/>
    <x v="0"/>
    <n v="67"/>
    <s v="Rural"/>
    <s v="PA"/>
    <s v="SST"/>
    <n v="190"/>
    <n v="2021"/>
    <s v="Tenant C"/>
    <n v="27154.799999999999"/>
    <n v="261"/>
    <s v="Rural"/>
    <s v="AZ"/>
    <n v="35066.25"/>
    <n v="825"/>
    <n v="375"/>
    <n v="5400"/>
    <n v="6.4937500000000004"/>
    <x v="0"/>
  </r>
  <r>
    <n v="442"/>
    <x v="1"/>
    <x v="0"/>
    <x v="0"/>
    <x v="21"/>
    <x v="5"/>
    <s v="Tenant C"/>
    <n v="38244.39"/>
    <n v="0"/>
    <n v="262"/>
    <n v="396"/>
    <x v="0"/>
    <n v="67"/>
    <s v="Rural"/>
    <s v="TX"/>
    <s v="Monopole"/>
    <n v="185"/>
    <n v="2021"/>
    <s v="Tenant A"/>
    <n v="27524.400000000001"/>
    <n v="262"/>
    <s v="Urban"/>
    <s v="TX"/>
    <n v="130727.5"/>
    <n v="875"/>
    <n v="375"/>
    <n v="6000"/>
    <s v="21.787916666666668"/>
    <x v="1"/>
  </r>
  <r>
    <n v="465"/>
    <x v="1"/>
    <x v="3"/>
    <x v="0"/>
    <x v="24"/>
    <x v="5"/>
    <s v="Tenant A"/>
    <n v="26068.75"/>
    <n v="0"/>
    <n v="263"/>
    <n v="413"/>
    <x v="0"/>
    <n v="67"/>
    <s v="Rural"/>
    <s v="PA"/>
    <s v="SST"/>
    <n v="185"/>
    <n v="2022"/>
    <s v="Tenant D"/>
    <n v="28665.15"/>
    <n v="263"/>
    <s v="Rural"/>
    <s v="PA"/>
    <n v="37775"/>
    <n v="950"/>
    <n v="150"/>
    <n v="9600"/>
    <s v="3.9348958333333335"/>
    <x v="2"/>
  </r>
  <r>
    <n v="470"/>
    <x v="1"/>
    <x v="1"/>
    <x v="1"/>
    <x v="10"/>
    <x v="5"/>
    <s v="Tenant B"/>
    <n v="49023.75"/>
    <n v="0"/>
    <n v="264"/>
    <n v="145"/>
    <x v="0"/>
    <n v="67"/>
    <s v="Rural"/>
    <s v="FL"/>
    <s v="SST"/>
    <n v="210"/>
    <n v="2019"/>
    <s v="Tenant B"/>
    <n v="28924.22"/>
    <n v="264"/>
    <s v="Suburban"/>
    <s v="PA"/>
    <n v="102783.75"/>
    <n v="975"/>
    <n v="200"/>
    <n v="9300"/>
    <s v="11.05201612903226"/>
    <x v="1"/>
  </r>
  <r>
    <n v="486"/>
    <x v="2"/>
    <x v="4"/>
    <x v="1"/>
    <x v="12"/>
    <x v="5"/>
    <s v="Tenant C"/>
    <n v="113963.75"/>
    <n v="0"/>
    <n v="265"/>
    <n v="352"/>
    <x v="0"/>
    <n v="67"/>
    <s v="Rural"/>
    <s v="AZ"/>
    <s v="Monopole"/>
    <n v="180"/>
    <n v="2021"/>
    <s v="Tenant D"/>
    <s v="33214.799999999996"/>
    <n v="265"/>
    <s v="Suburban"/>
    <s v="TX"/>
    <n v="130821.25"/>
    <n v="825"/>
    <n v="200"/>
    <n v="7500"/>
    <s v="17.442833333333333"/>
    <x v="1"/>
  </r>
  <r>
    <n v="489"/>
    <x v="0"/>
    <x v="2"/>
    <x v="1"/>
    <x v="27"/>
    <x v="5"/>
    <s v="Tenant C"/>
    <n v="113731.25"/>
    <n v="0"/>
    <n v="266"/>
    <n v="370"/>
    <x v="0"/>
    <n v="67"/>
    <s v="Rural"/>
    <s v="OR"/>
    <s v="SST"/>
    <n v="160"/>
    <n v="2021"/>
    <s v="Tenant D"/>
    <n v="33554.400000000001"/>
    <n v="266"/>
    <s v="Urban"/>
    <s v="OR"/>
    <n v="127615"/>
    <n v="975"/>
    <n v="325"/>
    <n v="7800"/>
    <s v="16.360897435897435"/>
    <x v="1"/>
  </r>
  <r>
    <n v="4"/>
    <x v="2"/>
    <x v="1"/>
    <x v="0"/>
    <x v="19"/>
    <x v="0"/>
    <s v="Tenant C"/>
    <n v="105980"/>
    <n v="0"/>
    <n v="267"/>
    <n v="157"/>
    <x v="0"/>
    <n v="67"/>
    <s v="Rural"/>
    <s v="FL"/>
    <s v="SST"/>
    <n v="210"/>
    <n v="2019"/>
    <s v="Tenant B"/>
    <n v="34260.26"/>
    <n v="267"/>
    <s v="Rural"/>
    <s v="OR"/>
    <n v="38785"/>
    <n v="975"/>
    <n v="350"/>
    <n v="7500"/>
    <s v="5.171333333333333"/>
    <x v="0"/>
  </r>
  <r>
    <n v="37"/>
    <x v="0"/>
    <x v="2"/>
    <x v="1"/>
    <x v="30"/>
    <x v="0"/>
    <s v="Tenant C"/>
    <n v="82096"/>
    <n v="0"/>
    <n v="268"/>
    <n v="468"/>
    <x v="0"/>
    <n v="67"/>
    <s v="Rural"/>
    <s v="TX"/>
    <s v="Monopole"/>
    <n v="160"/>
    <n v="2022"/>
    <s v="Tenant D"/>
    <n v="36393.75"/>
    <n v="268"/>
    <s v="Suburban"/>
    <s v="PA"/>
    <n v="115236.25"/>
    <n v="950"/>
    <n v="150"/>
    <n v="9600"/>
    <s v="12.003776041666669"/>
    <x v="1"/>
  </r>
  <r>
    <n v="43"/>
    <x v="2"/>
    <x v="4"/>
    <x v="1"/>
    <x v="27"/>
    <x v="1"/>
    <s v="Tenant C"/>
    <n v="108223.5"/>
    <n v="0"/>
    <n v="269"/>
    <n v="312"/>
    <x v="0"/>
    <n v="67"/>
    <s v="Rural"/>
    <s v="OR"/>
    <s v="SST"/>
    <n v="175"/>
    <n v="2021"/>
    <s v="Tenant A"/>
    <n v="37052.400000000001"/>
    <n v="269"/>
    <s v="Suburban"/>
    <s v="AZ"/>
    <n v="107877.5"/>
    <n v="975"/>
    <m/>
    <n v="11700"/>
    <s v="9.220299145299146"/>
    <x v="0"/>
  </r>
  <r>
    <n v="45"/>
    <x v="1"/>
    <x v="3"/>
    <x v="1"/>
    <x v="22"/>
    <x v="1"/>
    <s v="Tenant A"/>
    <n v="22866"/>
    <n v="0"/>
    <n v="270"/>
    <n v="463"/>
    <x v="0"/>
    <n v="67"/>
    <s v="Rural"/>
    <s v="PA"/>
    <s v="SST"/>
    <n v="180"/>
    <n v="2022"/>
    <s v="Tenant D"/>
    <n v="37098.75"/>
    <n v="270"/>
    <s v="Rural"/>
    <s v="PA"/>
    <n v="39086.25"/>
    <n v="950"/>
    <n v="350"/>
    <n v="7200"/>
    <s v="5.428645833333333"/>
    <x v="0"/>
  </r>
  <r>
    <n v="64"/>
    <x v="0"/>
    <x v="0"/>
    <x v="0"/>
    <x v="31"/>
    <x v="1"/>
    <s v="Tenant C"/>
    <n v="85485.92"/>
    <n v="0"/>
    <n v="271"/>
    <n v="246"/>
    <x v="0"/>
    <n v="67"/>
    <s v="Rural"/>
    <s v="PA"/>
    <s v="SST"/>
    <n v="200"/>
    <n v="2019"/>
    <s v="Tenant C"/>
    <s v="37101.060000000005"/>
    <n v="271"/>
    <s v="Urban"/>
    <s v="FL"/>
    <n v="107876.25"/>
    <n v="975"/>
    <n v="325"/>
    <n v="7800"/>
    <s v="13.830288461538462"/>
    <x v="1"/>
  </r>
  <r>
    <n v="79"/>
    <x v="0"/>
    <x v="4"/>
    <x v="1"/>
    <x v="19"/>
    <x v="1"/>
    <s v="Tenant C"/>
    <n v="110904.15"/>
    <n v="0"/>
    <n v="272"/>
    <n v="420"/>
    <x v="0"/>
    <n v="67"/>
    <s v="Rural"/>
    <s v="TX"/>
    <s v="Monopole"/>
    <n v="180"/>
    <n v="2022"/>
    <s v="Tenant A"/>
    <n v="37131.24"/>
    <n v="272"/>
    <s v="Rural"/>
    <s v="TX"/>
    <n v="39625"/>
    <n v="975"/>
    <n v="400"/>
    <n v="6900"/>
    <s v="5.742753623188406"/>
    <x v="0"/>
  </r>
  <r>
    <n v="84"/>
    <x v="0"/>
    <x v="1"/>
    <x v="1"/>
    <x v="10"/>
    <x v="1"/>
    <s v="Tenant C"/>
    <n v="88603.839999999997"/>
    <n v="0"/>
    <n v="273"/>
    <n v="409"/>
    <x v="0"/>
    <n v="67"/>
    <s v="Rural"/>
    <s v="PA"/>
    <s v="SST"/>
    <n v="185"/>
    <n v="2022"/>
    <s v="Tenant D"/>
    <n v="37256.699999999997"/>
    <n v="273"/>
    <s v="Rural"/>
    <s v="FL"/>
    <n v="43681.25"/>
    <n v="825"/>
    <n v="325"/>
    <n v="6000"/>
    <s v="7.280208333333333"/>
    <x v="0"/>
  </r>
  <r>
    <n v="93"/>
    <x v="0"/>
    <x v="2"/>
    <x v="1"/>
    <x v="21"/>
    <x v="1"/>
    <s v="Tenant A"/>
    <n v="109950.88"/>
    <n v="0"/>
    <n v="274"/>
    <n v="354"/>
    <x v="0"/>
    <n v="67"/>
    <s v="Rural"/>
    <s v="PA"/>
    <s v="SST"/>
    <n v="190"/>
    <n v="2021"/>
    <s v="Tenant C"/>
    <n v="37770"/>
    <n v="274"/>
    <s v="Suburban"/>
    <s v="AZ"/>
    <n v="104562.5"/>
    <n v="975"/>
    <n v="350"/>
    <n v="7500"/>
    <s v="13.941666666666666"/>
    <x v="1"/>
  </r>
  <r>
    <n v="95"/>
    <x v="1"/>
    <x v="2"/>
    <x v="3"/>
    <x v="15"/>
    <x v="1"/>
    <s v="Tenant C"/>
    <s v="31161.620000000003"/>
    <n v="0"/>
    <n v="275"/>
    <n v="270"/>
    <x v="0"/>
    <n v="67"/>
    <s v="Rural"/>
    <s v="PA"/>
    <s v="SST"/>
    <n v="215"/>
    <n v="2020"/>
    <s v="Tenant A"/>
    <n v="39086.25"/>
    <n v="275"/>
    <s v="Rural"/>
    <s v="OR"/>
    <n v="44290"/>
    <n v="875"/>
    <n v="200"/>
    <n v="8100"/>
    <s v="5.4679012345679014"/>
    <x v="0"/>
  </r>
  <r>
    <n v="97"/>
    <x v="1"/>
    <x v="0"/>
    <x v="0"/>
    <x v="12"/>
    <x v="1"/>
    <s v="Tenant D"/>
    <n v="37352.699999999997"/>
    <n v="0"/>
    <n v="276"/>
    <n v="169"/>
    <x v="0"/>
    <n v="67"/>
    <s v="Rural"/>
    <s v="AZ"/>
    <s v="Monopole"/>
    <n v="215"/>
    <n v="2019"/>
    <s v="Tenant C"/>
    <n v="39719.160000000003"/>
    <n v="276"/>
    <s v="Suburban"/>
    <s v="FL"/>
    <n v="122871.25"/>
    <n v="825"/>
    <n v="200"/>
    <n v="7500"/>
    <s v="16.382833333333334"/>
    <x v="1"/>
  </r>
  <r>
    <n v="116"/>
    <x v="0"/>
    <x v="1"/>
    <x v="0"/>
    <x v="27"/>
    <x v="1"/>
    <s v="Tenant A"/>
    <n v="89028.160000000003"/>
    <n v="0"/>
    <n v="277"/>
    <n v="243"/>
    <x v="0"/>
    <n v="67"/>
    <s v="Rural"/>
    <s v="OR"/>
    <s v="SST"/>
    <n v="240"/>
    <n v="2019"/>
    <s v="Tenant D"/>
    <s v="39854.100000000006"/>
    <n v="277"/>
    <s v="Suburban"/>
    <s v="FL"/>
    <n v="108067.94"/>
    <n v="975"/>
    <n v="400"/>
    <n v="6900"/>
    <s v="15.662020289855072"/>
    <x v="1"/>
  </r>
  <r>
    <n v="124"/>
    <x v="0"/>
    <x v="4"/>
    <x v="0"/>
    <x v="18"/>
    <x v="2"/>
    <s v="Tenant B"/>
    <n v="100567.5"/>
    <n v="0"/>
    <n v="278"/>
    <n v="306"/>
    <x v="0"/>
    <n v="67"/>
    <s v="Rural"/>
    <s v="FL"/>
    <s v="SST"/>
    <n v="175"/>
    <n v="2021"/>
    <s v="Tenant D"/>
    <n v="40851.599999999999"/>
    <n v="278"/>
    <s v="Rural"/>
    <s v="FL"/>
    <n v="23819.48"/>
    <n v="825"/>
    <n v="325"/>
    <n v="6000"/>
    <s v="3.9699133333333334"/>
    <x v="2"/>
  </r>
  <r>
    <n v="150"/>
    <x v="1"/>
    <x v="2"/>
    <x v="1"/>
    <x v="12"/>
    <x v="2"/>
    <s v="Tenant A"/>
    <n v="26139.24"/>
    <n v="0"/>
    <n v="279"/>
    <n v="346"/>
    <x v="0"/>
    <n v="67"/>
    <s v="Rural"/>
    <s v="TX"/>
    <s v="Monopole"/>
    <n v="195"/>
    <n v="2021"/>
    <s v="Tenant B"/>
    <n v="41354.400000000001"/>
    <n v="279"/>
    <s v="Rural"/>
    <s v="TX"/>
    <n v="45005.2"/>
    <n v="950"/>
    <n v="150"/>
    <n v="9600"/>
    <s v="4.688041666666666"/>
    <x v="2"/>
  </r>
  <r>
    <n v="158"/>
    <x v="0"/>
    <x v="1"/>
    <x v="0"/>
    <x v="3"/>
    <x v="2"/>
    <s v="Tenant D"/>
    <s v="87548.04000000001"/>
    <n v="0"/>
    <n v="280"/>
    <n v="428"/>
    <x v="0"/>
    <n v="67"/>
    <s v="Rural"/>
    <s v="FL"/>
    <s v="SST"/>
    <n v="195"/>
    <n v="2022"/>
    <s v="Tenant D"/>
    <n v="41653.949999999997"/>
    <n v="280"/>
    <s v="Suburban"/>
    <s v="TX"/>
    <n v="94686.74"/>
    <n v="950"/>
    <n v="175"/>
    <n v="9300"/>
    <s v="10.181369892473118"/>
    <x v="1"/>
  </r>
  <r>
    <n v="180"/>
    <x v="0"/>
    <x v="3"/>
    <x v="0"/>
    <x v="27"/>
    <x v="2"/>
    <s v="Tenant A"/>
    <n v="93024.8"/>
    <n v="0"/>
    <n v="281"/>
    <n v="237"/>
    <x v="0"/>
    <n v="67"/>
    <s v="Rural"/>
    <s v="OR"/>
    <s v="SST"/>
    <n v="220"/>
    <n v="2019"/>
    <s v="Tenant A"/>
    <s v="42262.560000000005"/>
    <n v="281"/>
    <s v="Suburban"/>
    <s v="FL"/>
    <n v="127181.58"/>
    <n v="875"/>
    <n v="425"/>
    <n v="5400"/>
    <s v="23.55214444444444"/>
    <x v="1"/>
  </r>
  <r>
    <n v="188"/>
    <x v="0"/>
    <x v="0"/>
    <x v="1"/>
    <x v="31"/>
    <x v="2"/>
    <s v="Tenant C"/>
    <n v="112683.3"/>
    <n v="0"/>
    <n v="282"/>
    <n v="37"/>
    <x v="0"/>
    <n v="67"/>
    <s v="Suburban"/>
    <s v="PA"/>
    <s v="Monopole"/>
    <n v="130"/>
    <n v="2017"/>
    <s v="Tenant C"/>
    <n v="82096"/>
    <n v="282"/>
    <s v="Suburban"/>
    <s v="PA"/>
    <n v="114954.42"/>
    <n v="950"/>
    <m/>
    <n v="11400"/>
    <s v="10.083721052631578"/>
    <x v="1"/>
  </r>
  <r>
    <n v="194"/>
    <x v="1"/>
    <x v="3"/>
    <x v="3"/>
    <x v="3"/>
    <x v="2"/>
    <s v="Tenant A"/>
    <n v="36980.28"/>
    <n v="0"/>
    <n v="283"/>
    <n v="73"/>
    <x v="0"/>
    <n v="67"/>
    <s v="Suburban"/>
    <s v="FL"/>
    <s v="Monopole"/>
    <n v="140"/>
    <n v="2018"/>
    <s v="Tenant A"/>
    <n v="84035.7"/>
    <n v="283"/>
    <s v="Suburban"/>
    <s v="FL"/>
    <n v="122922.96"/>
    <n v="975"/>
    <n v="250"/>
    <n v="8700"/>
    <s v="14.129075862068964"/>
    <x v="1"/>
  </r>
  <r>
    <n v="213"/>
    <x v="1"/>
    <x v="3"/>
    <x v="0"/>
    <x v="22"/>
    <x v="2"/>
    <s v="Tenant C"/>
    <n v="25100.9"/>
    <n v="0"/>
    <n v="284"/>
    <n v="31"/>
    <x v="0"/>
    <n v="67"/>
    <s v="Suburban"/>
    <s v="FL"/>
    <s v="Monopole"/>
    <n v="145"/>
    <n v="2017"/>
    <s v="Tenant B"/>
    <n v="88961"/>
    <n v="284"/>
    <s v="Suburban"/>
    <s v="OR"/>
    <n v="104505.52"/>
    <n v="950"/>
    <n v="325"/>
    <n v="7500"/>
    <s v="13.934069333333332"/>
    <x v="1"/>
  </r>
  <r>
    <n v="224"/>
    <x v="0"/>
    <x v="1"/>
    <x v="0"/>
    <x v="9"/>
    <x v="2"/>
    <s v="Tenant C"/>
    <n v="95760.4"/>
    <n v="0"/>
    <n v="285"/>
    <n v="48"/>
    <x v="0"/>
    <n v="67"/>
    <s v="Suburban"/>
    <s v="OR"/>
    <s v="Monopole"/>
    <n v="120"/>
    <n v="2018"/>
    <s v="Tenant A"/>
    <n v="95682.3"/>
    <n v="285"/>
    <s v="Rural"/>
    <s v="OR"/>
    <s v="30799.179999999997"/>
    <n v="825"/>
    <n v="350"/>
    <n v="5700"/>
    <s v="5.4033649122807015"/>
    <x v="0"/>
  </r>
  <r>
    <n v="232"/>
    <x v="0"/>
    <x v="2"/>
    <x v="1"/>
    <x v="18"/>
    <x v="2"/>
    <s v="Tenant D"/>
    <n v="106021.44"/>
    <n v="0"/>
    <n v="286"/>
    <n v="78"/>
    <x v="0"/>
    <n v="67"/>
    <s v="Suburban"/>
    <s v="FL"/>
    <s v="Monopole"/>
    <n v="140"/>
    <n v="2018"/>
    <s v="Tenant B"/>
    <n v="99832.95"/>
    <n v="286"/>
    <s v="Suburban"/>
    <s v="FL"/>
    <n v="126835.2"/>
    <n v="875"/>
    <n v="175"/>
    <n v="8400"/>
    <s v="15.099428571428572"/>
    <x v="1"/>
  </r>
  <r>
    <n v="241"/>
    <x v="0"/>
    <x v="3"/>
    <x v="0"/>
    <x v="23"/>
    <x v="2"/>
    <s v="Tenant D"/>
    <n v="109946.16"/>
    <n v="0"/>
    <n v="287"/>
    <n v="102"/>
    <x v="0"/>
    <n v="67"/>
    <s v="Suburban"/>
    <s v="PA"/>
    <s v="Monopole"/>
    <n v="150"/>
    <n v="2018"/>
    <s v="Tenant C"/>
    <n v="101430"/>
    <n v="287"/>
    <s v="Suburban"/>
    <s v="FL"/>
    <n v="121669.2"/>
    <n v="950"/>
    <n v="300"/>
    <n v="7800"/>
    <s v="15.598615384615384"/>
    <x v="1"/>
  </r>
  <r>
    <n v="246"/>
    <x v="1"/>
    <x v="2"/>
    <x v="0"/>
    <x v="19"/>
    <x v="2"/>
    <s v="Tenant C"/>
    <s v="37101.060000000005"/>
    <n v="0"/>
    <n v="288"/>
    <n v="65"/>
    <x v="0"/>
    <n v="67"/>
    <s v="Suburban"/>
    <s v="PA"/>
    <s v="Monopole"/>
    <n v="155"/>
    <n v="2018"/>
    <s v="Tenant A"/>
    <n v="107742.12"/>
    <n v="288"/>
    <s v="Rural"/>
    <s v="PA"/>
    <n v="25816.799999999999"/>
    <n v="950"/>
    <n v="325"/>
    <n v="7500"/>
    <n v="3.44224"/>
    <x v="2"/>
  </r>
  <r>
    <n v="247"/>
    <x v="1"/>
    <x v="4"/>
    <x v="0"/>
    <x v="19"/>
    <x v="2"/>
    <s v="Tenant D"/>
    <n v="30556.44"/>
    <n v="0"/>
    <n v="289"/>
    <n v="112"/>
    <x v="0"/>
    <n v="67"/>
    <s v="Suburban"/>
    <s v="PA"/>
    <s v="Monopole"/>
    <n v="135"/>
    <n v="2018"/>
    <s v="Tenant C"/>
    <n v="108379.69"/>
    <n v="289"/>
    <s v="Rural"/>
    <s v="PA"/>
    <n v="41454"/>
    <n v="875"/>
    <n v="325"/>
    <n v="6600"/>
    <s v="6.280909090909091"/>
    <x v="0"/>
  </r>
  <r>
    <n v="275"/>
    <x v="1"/>
    <x v="3"/>
    <x v="0"/>
    <x v="7"/>
    <x v="3"/>
    <s v="Tenant B"/>
    <n v="44290"/>
    <n v="0"/>
    <n v="290"/>
    <n v="151"/>
    <x v="0"/>
    <n v="66"/>
    <s v="Suburban"/>
    <s v="PA"/>
    <s v="Monopole"/>
    <n v="100"/>
    <n v="2019"/>
    <s v="Tenant B"/>
    <n v="98223.84"/>
    <n v="290"/>
    <s v="Rural"/>
    <s v="AZ"/>
    <n v="28506"/>
    <n v="975"/>
    <n v="350"/>
    <n v="7500"/>
    <n v="3.8008000000000002"/>
    <x v="2"/>
  </r>
  <r>
    <n v="281"/>
    <x v="0"/>
    <x v="1"/>
    <x v="0"/>
    <x v="30"/>
    <x v="4"/>
    <s v="Tenant B"/>
    <n v="127181.58"/>
    <n v="0"/>
    <n v="291"/>
    <n v="491"/>
    <x v="0"/>
    <n v="65"/>
    <s v="Rural"/>
    <s v="OR"/>
    <s v="Monopole"/>
    <n v="225"/>
    <n v="2022"/>
    <s v="Tenant B"/>
    <n v="29931.25"/>
    <n v="291"/>
    <s v="Urban"/>
    <s v="FL"/>
    <n v="129960"/>
    <n v="825"/>
    <n v="325"/>
    <n v="6000"/>
    <n v="21.66"/>
    <x v="1"/>
  </r>
  <r>
    <n v="288"/>
    <x v="1"/>
    <x v="2"/>
    <x v="0"/>
    <x v="6"/>
    <x v="4"/>
    <s v="Tenant A"/>
    <n v="25816.799999999999"/>
    <n v="0"/>
    <n v="292"/>
    <n v="483"/>
    <x v="0"/>
    <n v="65"/>
    <s v="Rural"/>
    <s v="PA"/>
    <s v="Monopole"/>
    <n v="245"/>
    <n v="2022"/>
    <s v="Tenant A"/>
    <n v="32045"/>
    <n v="292"/>
    <s v="Rural"/>
    <s v="TX"/>
    <n v="36832.800000000003"/>
    <n v="875"/>
    <n v="275"/>
    <n v="7200"/>
    <s v="5.115666666666666"/>
    <x v="0"/>
  </r>
  <r>
    <n v="304"/>
    <x v="0"/>
    <x v="3"/>
    <x v="1"/>
    <x v="17"/>
    <x v="4"/>
    <s v="Tenant B"/>
    <n v="107226"/>
    <n v="0"/>
    <n v="293"/>
    <n v="473"/>
    <x v="0"/>
    <n v="65"/>
    <s v="Rural"/>
    <s v="PA"/>
    <s v="Monopole"/>
    <n v="230"/>
    <n v="2022"/>
    <s v="Tenant D"/>
    <n v="32447.5"/>
    <n v="293"/>
    <s v="Rural"/>
    <s v="TX"/>
    <n v="46802.400000000001"/>
    <n v="825"/>
    <n v="325"/>
    <n v="6000"/>
    <s v="7.800400000000001"/>
    <x v="0"/>
  </r>
  <r>
    <n v="306"/>
    <x v="1"/>
    <x v="1"/>
    <x v="0"/>
    <x v="15"/>
    <x v="4"/>
    <s v="Tenant D"/>
    <n v="40851.599999999999"/>
    <n v="0"/>
    <n v="294"/>
    <n v="343"/>
    <x v="0"/>
    <n v="65"/>
    <s v="Rural"/>
    <s v="FL"/>
    <s v="Monopole"/>
    <n v="205"/>
    <n v="2021"/>
    <s v="Tenant B"/>
    <n v="33500.400000000001"/>
    <n v="294"/>
    <s v="Rural"/>
    <s v="TX"/>
    <n v="46504.800000000003"/>
    <n v="825"/>
    <n v="175"/>
    <n v="7800"/>
    <s v="5.9621538461538455"/>
    <x v="0"/>
  </r>
  <r>
    <n v="312"/>
    <x v="1"/>
    <x v="3"/>
    <x v="0"/>
    <x v="15"/>
    <x v="4"/>
    <s v="Tenant A"/>
    <n v="37052.400000000001"/>
    <n v="0"/>
    <n v="295"/>
    <n v="376"/>
    <x v="0"/>
    <n v="65"/>
    <s v="Rural"/>
    <s v="OR"/>
    <s v="Monopole"/>
    <n v="200"/>
    <n v="2021"/>
    <s v="Tenant A"/>
    <n v="35329.199999999997"/>
    <n v="295"/>
    <s v="Suburban"/>
    <s v="AZ"/>
    <n v="99138"/>
    <n v="875"/>
    <n v="275"/>
    <n v="7200"/>
    <s v="13.769166666666669"/>
    <x v="1"/>
  </r>
  <r>
    <n v="318"/>
    <x v="0"/>
    <x v="1"/>
    <x v="0"/>
    <x v="14"/>
    <x v="4"/>
    <s v="Tenant B"/>
    <n v="127162.8"/>
    <n v="0"/>
    <n v="296"/>
    <n v="171"/>
    <x v="0"/>
    <n v="65"/>
    <s v="Rural"/>
    <s v="TX"/>
    <s v="SST"/>
    <n v="120"/>
    <n v="2019"/>
    <s v="Tenant A"/>
    <n v="35468.400000000001"/>
    <n v="296"/>
    <s v="Suburban"/>
    <s v="FL"/>
    <n v="106387.2"/>
    <n v="875"/>
    <n v="400"/>
    <n v="5700"/>
    <s v="18.664421052631575"/>
    <x v="1"/>
  </r>
  <r>
    <n v="321"/>
    <x v="1"/>
    <x v="1"/>
    <x v="0"/>
    <x v="16"/>
    <x v="4"/>
    <s v="Tenant A"/>
    <n v="30102"/>
    <n v="0"/>
    <n v="297"/>
    <n v="148"/>
    <x v="0"/>
    <n v="65"/>
    <s v="Rural"/>
    <s v="AZ"/>
    <s v="SST"/>
    <n v="145"/>
    <n v="2019"/>
    <s v="Tenant C"/>
    <n v="39775.32"/>
    <n v="297"/>
    <s v="Suburban"/>
    <s v="FL"/>
    <n v="117471.6"/>
    <n v="950"/>
    <m/>
    <n v="11400"/>
    <s v="10.304526315789474"/>
    <x v="1"/>
  </r>
  <r>
    <n v="327"/>
    <x v="0"/>
    <x v="1"/>
    <x v="1"/>
    <x v="15"/>
    <x v="4"/>
    <s v="Tenant C"/>
    <n v="103276.8"/>
    <n v="0"/>
    <n v="298"/>
    <n v="156"/>
    <x v="0"/>
    <n v="65"/>
    <s v="Rural"/>
    <s v="TX"/>
    <s v="SST"/>
    <n v="145"/>
    <n v="2019"/>
    <s v="Tenant D"/>
    <n v="42020"/>
    <n v="298"/>
    <s v="Suburban"/>
    <s v="PA"/>
    <n v="111411.6"/>
    <n v="825"/>
    <n v="400"/>
    <n v="5100"/>
    <s v="21.84541176470588"/>
    <x v="1"/>
  </r>
  <r>
    <n v="329"/>
    <x v="1"/>
    <x v="0"/>
    <x v="1"/>
    <x v="1"/>
    <x v="4"/>
    <s v="Tenant A"/>
    <n v="46294.8"/>
    <n v="0"/>
    <n v="299"/>
    <n v="395"/>
    <x v="0"/>
    <n v="65"/>
    <s v="Rural"/>
    <s v="OR"/>
    <s v="Monopole"/>
    <n v="235"/>
    <n v="2021"/>
    <s v="Tenant C"/>
    <n v="45291.6"/>
    <n v="299"/>
    <s v="Suburban"/>
    <s v="AZ"/>
    <n v="121714.8"/>
    <n v="875"/>
    <n v="300"/>
    <n v="6900"/>
    <s v="17.63982608695652"/>
    <x v="1"/>
  </r>
  <r>
    <n v="337"/>
    <x v="0"/>
    <x v="1"/>
    <x v="1"/>
    <x v="17"/>
    <x v="4"/>
    <s v="Tenant B"/>
    <n v="121363.2"/>
    <n v="0"/>
    <n v="300"/>
    <n v="206"/>
    <x v="1"/>
    <n v="64"/>
    <s v="Rural"/>
    <s v="PA"/>
    <s v="SST"/>
    <n v="165"/>
    <n v="2019"/>
    <s v="Tenant A"/>
    <n v="21913.38"/>
    <n v="300"/>
    <s v="Suburban"/>
    <s v="FL"/>
    <n v="98055.6"/>
    <n v="975"/>
    <n v="175"/>
    <n v="9600"/>
    <n v="10.214124999999999"/>
    <x v="1"/>
  </r>
  <r>
    <n v="338"/>
    <x v="1"/>
    <x v="2"/>
    <x v="1"/>
    <x v="9"/>
    <x v="4"/>
    <s v="Tenant D"/>
    <n v="43828.800000000003"/>
    <n v="0"/>
    <n v="301"/>
    <n v="223"/>
    <x v="1"/>
    <n v="64"/>
    <s v="Rural"/>
    <s v="AZ"/>
    <s v="Monopole"/>
    <n v="170"/>
    <n v="2019"/>
    <s v="Tenant A"/>
    <n v="22600.6"/>
    <n v="301"/>
    <s v="Suburban"/>
    <s v="TX"/>
    <n v="120549.6"/>
    <n v="825"/>
    <n v="225"/>
    <n v="7200"/>
    <n v="16.742999999999999"/>
    <x v="1"/>
  </r>
  <r>
    <n v="340"/>
    <x v="0"/>
    <x v="3"/>
    <x v="1"/>
    <x v="24"/>
    <x v="4"/>
    <s v="Tenant A"/>
    <n v="118746"/>
    <n v="0"/>
    <n v="302"/>
    <n v="16"/>
    <x v="1"/>
    <n v="64"/>
    <s v="Rural"/>
    <s v="PA"/>
    <s v="SST"/>
    <n v="210"/>
    <n v="2017"/>
    <s v="Tenant A"/>
    <n v="23964"/>
    <n v="302"/>
    <s v="Suburban"/>
    <s v="OR"/>
    <n v="97730.4"/>
    <n v="950"/>
    <n v="275"/>
    <n v="8100"/>
    <s v="12.06548148148148"/>
    <x v="1"/>
  </r>
  <r>
    <n v="353"/>
    <x v="1"/>
    <x v="3"/>
    <x v="3"/>
    <x v="5"/>
    <x v="4"/>
    <s v="Tenant A"/>
    <n v="38110.800000000003"/>
    <n v="0"/>
    <n v="303"/>
    <n v="213"/>
    <x v="1"/>
    <n v="64"/>
    <s v="Rural"/>
    <s v="OR"/>
    <s v="SST"/>
    <n v="190"/>
    <n v="2019"/>
    <s v="Tenant C"/>
    <n v="25100.9"/>
    <n v="303"/>
    <s v="Suburban"/>
    <s v="AZ"/>
    <n v="96496.8"/>
    <n v="825"/>
    <n v="200"/>
    <n v="7500"/>
    <n v="12.866239999999999"/>
    <x v="1"/>
  </r>
  <r>
    <n v="359"/>
    <x v="2"/>
    <x v="2"/>
    <x v="0"/>
    <x v="4"/>
    <x v="4"/>
    <s v="Tenant D"/>
    <n v="104685.6"/>
    <n v="0"/>
    <n v="304"/>
    <n v="118"/>
    <x v="1"/>
    <n v="64"/>
    <s v="Rural"/>
    <s v="PA"/>
    <s v="SST"/>
    <n v="210"/>
    <n v="2018"/>
    <s v="Tenant A"/>
    <s v="26424.300000000003"/>
    <n v="304"/>
    <s v="Suburban"/>
    <s v="OR"/>
    <n v="107226"/>
    <n v="875"/>
    <n v="325"/>
    <n v="6600"/>
    <s v="16.246363636363636"/>
    <x v="1"/>
  </r>
  <r>
    <n v="361"/>
    <x v="0"/>
    <x v="2"/>
    <x v="1"/>
    <x v="2"/>
    <x v="4"/>
    <s v="Tenant B"/>
    <n v="119652"/>
    <n v="0"/>
    <n v="305"/>
    <n v="311"/>
    <x v="1"/>
    <n v="64"/>
    <s v="Rural"/>
    <s v="TX"/>
    <s v="SST"/>
    <n v="100"/>
    <n v="2021"/>
    <s v="Tenant B"/>
    <n v="26619.599999999999"/>
    <n v="305"/>
    <s v="Rural"/>
    <s v="TX"/>
    <n v="34915.199999999997"/>
    <n v="875"/>
    <n v="275"/>
    <n v="7200"/>
    <s v="4.849333333333333"/>
    <x v="2"/>
  </r>
  <r>
    <n v="366"/>
    <x v="1"/>
    <x v="3"/>
    <x v="0"/>
    <x v="24"/>
    <x v="4"/>
    <s v="Tenant B"/>
    <n v="46180.800000000003"/>
    <n v="0"/>
    <n v="306"/>
    <n v="245"/>
    <x v="1"/>
    <n v="64"/>
    <s v="Rural"/>
    <s v="TX"/>
    <s v="Monopole"/>
    <n v="175"/>
    <n v="2019"/>
    <s v="Tenant C"/>
    <n v="27254.880000000001"/>
    <n v="306"/>
    <s v="Rural"/>
    <s v="FL"/>
    <n v="40851.599999999999"/>
    <n v="825"/>
    <n v="150"/>
    <n v="8100"/>
    <s v="5.043407407407408"/>
    <x v="0"/>
  </r>
  <r>
    <n v="370"/>
    <x v="1"/>
    <x v="3"/>
    <x v="0"/>
    <x v="27"/>
    <x v="4"/>
    <s v="Tenant D"/>
    <n v="33554.400000000001"/>
    <n v="0"/>
    <n v="307"/>
    <n v="39"/>
    <x v="1"/>
    <n v="64"/>
    <s v="Rural"/>
    <s v="OR"/>
    <s v="SST"/>
    <n v="235"/>
    <n v="2018"/>
    <s v="Tenant A"/>
    <n v="27865.95"/>
    <n v="307"/>
    <s v="Suburban"/>
    <s v="AZ"/>
    <n v="114187.2"/>
    <n v="975"/>
    <n v="225"/>
    <n v="9000"/>
    <s v="12.687466666666666"/>
    <x v="1"/>
  </r>
  <r>
    <n v="388"/>
    <x v="0"/>
    <x v="4"/>
    <x v="0"/>
    <x v="21"/>
    <x v="4"/>
    <s v="Tenant D"/>
    <n v="113912.4"/>
    <n v="0"/>
    <n v="308"/>
    <n v="55"/>
    <x v="1"/>
    <n v="64"/>
    <s v="Rural"/>
    <s v="TX"/>
    <s v="Monopole"/>
    <n v="230"/>
    <n v="2018"/>
    <s v="Tenant D"/>
    <n v="28861.63"/>
    <n v="308"/>
    <s v="Rural"/>
    <s v="AZ"/>
    <n v="26750.400000000001"/>
    <n v="875"/>
    <n v="175"/>
    <n v="8400"/>
    <s v="3.184571428571428"/>
    <x v="2"/>
  </r>
  <r>
    <n v="389"/>
    <x v="1"/>
    <x v="2"/>
    <x v="0"/>
    <x v="9"/>
    <x v="4"/>
    <s v="Tenant D"/>
    <n v="39584.400000000001"/>
    <n v="0"/>
    <n v="309"/>
    <n v="29"/>
    <x v="1"/>
    <n v="64"/>
    <s v="Rural"/>
    <s v="PA"/>
    <s v="SST"/>
    <n v="220"/>
    <n v="2017"/>
    <s v="Tenant C"/>
    <n v="29622"/>
    <n v="309"/>
    <s v="Rural"/>
    <s v="TX"/>
    <n v="41137.199999999997"/>
    <n v="875"/>
    <n v="300"/>
    <n v="6900"/>
    <n v="5.9619130434782601"/>
    <x v="0"/>
  </r>
  <r>
    <n v="392"/>
    <x v="0"/>
    <x v="2"/>
    <x v="0"/>
    <x v="3"/>
    <x v="4"/>
    <s v="Tenant C"/>
    <n v="103060.8"/>
    <n v="0"/>
    <n v="310"/>
    <n v="323"/>
    <x v="1"/>
    <n v="64"/>
    <s v="Rural"/>
    <s v="AZ"/>
    <s v="SST"/>
    <n v="115"/>
    <n v="2021"/>
    <s v="Tenant D"/>
    <n v="29636.400000000001"/>
    <n v="310"/>
    <s v="Suburban"/>
    <s v="TX"/>
    <n v="108994.8"/>
    <n v="825"/>
    <n v="225"/>
    <n v="7200"/>
    <s v="15.138166666666669"/>
    <x v="1"/>
  </r>
  <r>
    <n v="402"/>
    <x v="1"/>
    <x v="3"/>
    <x v="1"/>
    <x v="4"/>
    <x v="4"/>
    <s v="Tenant D"/>
    <n v="33697.199999999997"/>
    <n v="0"/>
    <n v="311"/>
    <n v="170"/>
    <x v="1"/>
    <n v="64"/>
    <s v="Rural"/>
    <s v="FL"/>
    <s v="SST"/>
    <n v="195"/>
    <n v="2019"/>
    <s v="Tenant D"/>
    <s v="30138.480000000003"/>
    <n v="311"/>
    <s v="Rural"/>
    <s v="TX"/>
    <n v="26619.599999999999"/>
    <n v="875"/>
    <n v="375"/>
    <n v="6000"/>
    <s v="4.436599999999999"/>
    <x v="2"/>
  </r>
  <r>
    <n v="424"/>
    <x v="1"/>
    <x v="1"/>
    <x v="1"/>
    <x v="22"/>
    <x v="5"/>
    <s v="Tenant A"/>
    <n v="34626.959999999999"/>
    <n v="0"/>
    <n v="312"/>
    <n v="195"/>
    <x v="1"/>
    <n v="64"/>
    <s v="Rural"/>
    <s v="PA"/>
    <s v="SST"/>
    <n v="185"/>
    <n v="2019"/>
    <s v="Tenant B"/>
    <n v="32039.279999999999"/>
    <n v="312"/>
    <s v="Rural"/>
    <s v="OR"/>
    <n v="37052.400000000001"/>
    <n v="950"/>
    <n v="150"/>
    <n v="9600"/>
    <n v="3.8596249999999999"/>
    <x v="2"/>
  </r>
  <r>
    <n v="435"/>
    <x v="0"/>
    <x v="2"/>
    <x v="0"/>
    <x v="27"/>
    <x v="5"/>
    <s v="Tenant C"/>
    <n v="121287.84"/>
    <n v="0"/>
    <n v="313"/>
    <n v="162"/>
    <x v="1"/>
    <n v="64"/>
    <s v="Rural"/>
    <s v="PA"/>
    <s v="SST"/>
    <n v="175"/>
    <n v="2019"/>
    <s v="Tenant D"/>
    <s v="34003.740000000005"/>
    <n v="313"/>
    <s v="Rural"/>
    <s v="PA"/>
    <n v="30336"/>
    <n v="825"/>
    <n v="325"/>
    <n v="6000"/>
    <n v="5.056"/>
    <x v="0"/>
  </r>
  <r>
    <n v="455"/>
    <x v="1"/>
    <x v="2"/>
    <x v="0"/>
    <x v="18"/>
    <x v="5"/>
    <s v="Tenant B"/>
    <n v="49142.19"/>
    <n v="0"/>
    <n v="314"/>
    <n v="123"/>
    <x v="1"/>
    <n v="64"/>
    <s v="Rural"/>
    <s v="TX"/>
    <s v="Monopole"/>
    <n v="160"/>
    <n v="2019"/>
    <s v="Tenant A"/>
    <s v="35134.560000000005"/>
    <n v="314"/>
    <s v="Rural"/>
    <s v="AZ"/>
    <n v="30674.400000000001"/>
    <n v="950"/>
    <n v="325"/>
    <n v="7500"/>
    <s v="4.089919999999999"/>
    <x v="2"/>
  </r>
  <r>
    <n v="466"/>
    <x v="1"/>
    <x v="2"/>
    <x v="0"/>
    <x v="19"/>
    <x v="5"/>
    <s v="Tenant C"/>
    <n v="32921.25"/>
    <n v="0"/>
    <n v="315"/>
    <n v="117"/>
    <x v="1"/>
    <n v="64"/>
    <s v="Rural"/>
    <s v="OR"/>
    <s v="SST"/>
    <n v="210"/>
    <n v="2018"/>
    <s v="Tenant D"/>
    <n v="35308.35"/>
    <n v="315"/>
    <s v="Rural"/>
    <s v="OR"/>
    <n v="35496"/>
    <n v="975"/>
    <n v="200"/>
    <n v="9300"/>
    <s v="3.816774193548387"/>
    <x v="2"/>
  </r>
  <r>
    <n v="474"/>
    <x v="1"/>
    <x v="2"/>
    <x v="1"/>
    <x v="13"/>
    <x v="5"/>
    <s v="Tenant D"/>
    <n v="34130"/>
    <n v="0"/>
    <n v="316"/>
    <n v="115"/>
    <x v="1"/>
    <n v="64"/>
    <s v="Rural"/>
    <s v="PA"/>
    <s v="SST"/>
    <n v="235"/>
    <n v="2018"/>
    <s v="Tenant C"/>
    <n v="35494.160000000003"/>
    <n v="316"/>
    <s v="Suburban"/>
    <s v="AZ"/>
    <n v="121504.8"/>
    <n v="975"/>
    <n v="375"/>
    <n v="7200"/>
    <s v="16.875666666666664"/>
    <x v="1"/>
  </r>
  <r>
    <n v="475"/>
    <x v="0"/>
    <x v="0"/>
    <x v="0"/>
    <x v="10"/>
    <x v="5"/>
    <s v="Tenant D"/>
    <n v="101576.25"/>
    <n v="0"/>
    <n v="317"/>
    <n v="228"/>
    <x v="1"/>
    <n v="64"/>
    <s v="Rural"/>
    <s v="OR"/>
    <s v="SST"/>
    <n v="185"/>
    <n v="2019"/>
    <s v="Tenant A"/>
    <n v="36587.160000000003"/>
    <n v="317"/>
    <s v="Rural"/>
    <s v="PA"/>
    <n v="27866.400000000001"/>
    <n v="875"/>
    <n v="350"/>
    <n v="6300"/>
    <s v="4.423238095238095"/>
    <x v="2"/>
  </r>
  <r>
    <n v="477"/>
    <x v="0"/>
    <x v="3"/>
    <x v="0"/>
    <x v="23"/>
    <x v="5"/>
    <s v="Tenant B"/>
    <n v="113855"/>
    <n v="0"/>
    <n v="318"/>
    <n v="499"/>
    <x v="1"/>
    <n v="64"/>
    <s v="Rural"/>
    <s v="TX"/>
    <s v="SST"/>
    <n v="105"/>
    <n v="2022"/>
    <s v="Tenant D"/>
    <n v="42772.5"/>
    <n v="318"/>
    <s v="Suburban"/>
    <s v="FL"/>
    <n v="127162.8"/>
    <n v="875"/>
    <n v="300"/>
    <n v="6900"/>
    <s v="18.429391304347824"/>
    <x v="1"/>
  </r>
  <r>
    <n v="478"/>
    <x v="0"/>
    <x v="4"/>
    <x v="1"/>
    <x v="17"/>
    <x v="5"/>
    <s v="Tenant D"/>
    <n v="124838.75"/>
    <n v="0"/>
    <n v="319"/>
    <n v="275"/>
    <x v="1"/>
    <n v="64"/>
    <s v="Rural"/>
    <s v="OR"/>
    <s v="SST"/>
    <n v="180"/>
    <n v="2020"/>
    <s v="Tenant B"/>
    <n v="44290"/>
    <n v="319"/>
    <s v="Suburban"/>
    <s v="AZ"/>
    <n v="96421.2"/>
    <n v="950"/>
    <n v="325"/>
    <n v="7500"/>
    <n v="12.856159999999999"/>
    <x v="1"/>
  </r>
  <r>
    <n v="481"/>
    <x v="1"/>
    <x v="4"/>
    <x v="0"/>
    <x v="9"/>
    <x v="5"/>
    <s v="Tenant A"/>
    <n v="43270"/>
    <n v="0"/>
    <n v="320"/>
    <n v="279"/>
    <x v="1"/>
    <n v="64"/>
    <s v="Rural"/>
    <s v="TX"/>
    <s v="SST"/>
    <n v="115"/>
    <n v="2021"/>
    <s v="Tenant A"/>
    <n v="45005.2"/>
    <n v="320"/>
    <s v="Suburban"/>
    <s v="AZ"/>
    <n v="102979.2"/>
    <n v="950"/>
    <n v="400"/>
    <n v="6600"/>
    <s v="15.60290909090909"/>
    <x v="1"/>
  </r>
  <r>
    <n v="482"/>
    <x v="1"/>
    <x v="2"/>
    <x v="0"/>
    <x v="16"/>
    <x v="5"/>
    <s v="Tenant B"/>
    <n v="32543.75"/>
    <n v="0"/>
    <n v="321"/>
    <n v="166"/>
    <x v="1"/>
    <n v="64"/>
    <s v="Suburban"/>
    <s v="OR"/>
    <s v="Guyed Tower"/>
    <n v="95"/>
    <n v="2019"/>
    <s v="Tenant A"/>
    <n v="101584.8"/>
    <n v="321"/>
    <s v="Rural"/>
    <s v="FL"/>
    <n v="30102"/>
    <n v="950"/>
    <m/>
    <n v="11400"/>
    <s v="2.6405263157894736"/>
    <x v="2"/>
  </r>
  <r>
    <n v="485"/>
    <x v="1"/>
    <x v="3"/>
    <x v="1"/>
    <x v="31"/>
    <x v="5"/>
    <s v="Tenant C"/>
    <n v="37522.5"/>
    <n v="0"/>
    <n v="322"/>
    <n v="465"/>
    <x v="1"/>
    <n v="63"/>
    <s v="Rural"/>
    <s v="OR"/>
    <s v="SST"/>
    <n v="150"/>
    <n v="2022"/>
    <s v="Tenant A"/>
    <n v="26068.75"/>
    <n v="322"/>
    <s v="Suburban"/>
    <s v="OR"/>
    <n v="105723.6"/>
    <n v="950"/>
    <n v="275"/>
    <n v="8100"/>
    <s v="13.052296296296296"/>
    <x v="1"/>
  </r>
  <r>
    <n v="488"/>
    <x v="0"/>
    <x v="1"/>
    <x v="1"/>
    <x v="28"/>
    <x v="5"/>
    <s v="Tenant A"/>
    <n v="123923.75"/>
    <n v="0"/>
    <n v="323"/>
    <n v="313"/>
    <x v="1"/>
    <n v="63"/>
    <s v="Rural"/>
    <s v="PA"/>
    <s v="SST"/>
    <n v="140"/>
    <n v="2021"/>
    <s v="Tenant D"/>
    <n v="30336"/>
    <n v="323"/>
    <s v="Rural"/>
    <s v="AZ"/>
    <n v="29636.400000000001"/>
    <n v="825"/>
    <n v="200"/>
    <n v="7500"/>
    <n v="3.9515199999999999"/>
    <x v="2"/>
  </r>
  <r>
    <n v="490"/>
    <x v="1"/>
    <x v="2"/>
    <x v="0"/>
    <x v="6"/>
    <x v="5"/>
    <s v="Tenant D"/>
    <n v="40152.5"/>
    <n v="0"/>
    <n v="324"/>
    <n v="377"/>
    <x v="1"/>
    <n v="63"/>
    <s v="Rural"/>
    <s v="PA"/>
    <s v="SST"/>
    <n v="155"/>
    <n v="2021"/>
    <s v="Tenant C"/>
    <n v="33474"/>
    <n v="324"/>
    <s v="Suburban"/>
    <s v="TX"/>
    <n v="104199.6"/>
    <n v="875"/>
    <n v="250"/>
    <n v="7500"/>
    <n v="13.893280000000001"/>
    <x v="1"/>
  </r>
  <r>
    <n v="492"/>
    <x v="2"/>
    <x v="1"/>
    <x v="1"/>
    <x v="30"/>
    <x v="5"/>
    <s v="Tenant B"/>
    <n v="111505"/>
    <n v="0"/>
    <n v="325"/>
    <n v="344"/>
    <x v="1"/>
    <n v="63"/>
    <s v="Rural"/>
    <s v="OR"/>
    <s v="SST"/>
    <n v="130"/>
    <n v="2021"/>
    <s v="Tenant A"/>
    <n v="35658"/>
    <n v="325"/>
    <s v="Suburban"/>
    <s v="OR"/>
    <n v="97430.399999999994"/>
    <n v="975"/>
    <n v="450"/>
    <n v="6300"/>
    <s v="15.465142857142856"/>
    <x v="1"/>
  </r>
  <r>
    <n v="499"/>
    <x v="1"/>
    <x v="4"/>
    <x v="0"/>
    <x v="26"/>
    <x v="5"/>
    <s v="Tenant D"/>
    <n v="42772.5"/>
    <n v="0"/>
    <n v="326"/>
    <n v="371"/>
    <x v="1"/>
    <n v="63"/>
    <s v="Rural"/>
    <s v="TX"/>
    <s v="Monopole"/>
    <n v="135"/>
    <n v="2021"/>
    <s v="Tenant D"/>
    <s v="35968.799999999996"/>
    <n v="326"/>
    <s v="Rural"/>
    <s v="OR"/>
    <n v="33807.599999999999"/>
    <n v="875"/>
    <n v="350"/>
    <n v="6300"/>
    <s v="5.366285714285714"/>
    <x v="0"/>
  </r>
  <r>
    <n v="1"/>
    <x v="0"/>
    <x v="1"/>
    <x v="0"/>
    <x v="7"/>
    <x v="0"/>
    <s v="Tenant A"/>
    <n v="45713"/>
    <n v="0"/>
    <n v="327"/>
    <n v="382"/>
    <x v="1"/>
    <n v="63"/>
    <s v="Rural"/>
    <s v="PA"/>
    <s v="SST"/>
    <n v="140"/>
    <n v="2021"/>
    <s v="Tenant B"/>
    <n v="37566"/>
    <n v="327"/>
    <s v="Suburban"/>
    <s v="FL"/>
    <n v="103276.8"/>
    <n v="975"/>
    <n v="450"/>
    <n v="6300"/>
    <s v="16.39314285714286"/>
    <x v="1"/>
  </r>
  <r>
    <n v="41"/>
    <x v="2"/>
    <x v="4"/>
    <x v="0"/>
    <x v="5"/>
    <x v="1"/>
    <s v="Tenant A"/>
    <n v="114636.9"/>
    <n v="0"/>
    <n v="328"/>
    <n v="389"/>
    <x v="1"/>
    <n v="63"/>
    <s v="Rural"/>
    <s v="PA"/>
    <s v="SST"/>
    <n v="135"/>
    <n v="2021"/>
    <s v="Tenant D"/>
    <n v="39584.400000000001"/>
    <n v="328"/>
    <s v="Rural"/>
    <s v="PA"/>
    <n v="30178.799999999999"/>
    <n v="975"/>
    <n v="300"/>
    <n v="8100"/>
    <s v="3.7257777777777776"/>
    <x v="2"/>
  </r>
  <r>
    <n v="44"/>
    <x v="0"/>
    <x v="2"/>
    <x v="1"/>
    <x v="0"/>
    <x v="1"/>
    <s v="Tenant A"/>
    <n v="110680.5"/>
    <n v="0"/>
    <n v="329"/>
    <n v="495"/>
    <x v="1"/>
    <n v="63"/>
    <s v="Rural"/>
    <s v="OR"/>
    <s v="SST"/>
    <n v="125"/>
    <n v="2022"/>
    <s v="Tenant D"/>
    <n v="44121.25"/>
    <n v="329"/>
    <s v="Rural"/>
    <s v="AZ"/>
    <n v="46294.8"/>
    <n v="950"/>
    <n v="350"/>
    <n v="7200"/>
    <s v="6.429833333333333"/>
    <x v="0"/>
  </r>
  <r>
    <n v="53"/>
    <x v="0"/>
    <x v="4"/>
    <x v="0"/>
    <x v="8"/>
    <x v="1"/>
    <s v="Tenant A"/>
    <n v="101242.05"/>
    <n v="0"/>
    <n v="330"/>
    <n v="366"/>
    <x v="1"/>
    <n v="63"/>
    <s v="Rural"/>
    <s v="OR"/>
    <s v="SST"/>
    <n v="150"/>
    <n v="2021"/>
    <s v="Tenant B"/>
    <n v="46180.800000000003"/>
    <n v="330"/>
    <s v="Suburban"/>
    <s v="FL"/>
    <n v="131312.4"/>
    <n v="975"/>
    <n v="325"/>
    <n v="7800"/>
    <s v="16.834923076923076"/>
    <x v="1"/>
  </r>
  <r>
    <n v="96"/>
    <x v="0"/>
    <x v="0"/>
    <x v="0"/>
    <x v="8"/>
    <x v="1"/>
    <s v="Tenant A"/>
    <n v="112532.16"/>
    <n v="0"/>
    <n v="331"/>
    <n v="329"/>
    <x v="1"/>
    <n v="63"/>
    <s v="Rural"/>
    <s v="AZ"/>
    <s v="Monopole"/>
    <n v="120"/>
    <n v="2021"/>
    <s v="Tenant A"/>
    <n v="46294.8"/>
    <n v="331"/>
    <s v="Rural"/>
    <s v="OR"/>
    <n v="39892.800000000003"/>
    <n v="975"/>
    <n v="225"/>
    <n v="9000"/>
    <s v="4.432533333333333"/>
    <x v="2"/>
  </r>
  <r>
    <n v="111"/>
    <x v="0"/>
    <x v="3"/>
    <x v="1"/>
    <x v="22"/>
    <x v="1"/>
    <s v="Tenant D"/>
    <n v="108838.8"/>
    <n v="0"/>
    <n v="332"/>
    <n v="455"/>
    <x v="1"/>
    <n v="63"/>
    <s v="Rural"/>
    <s v="PA"/>
    <s v="SST"/>
    <n v="145"/>
    <n v="2022"/>
    <s v="Tenant B"/>
    <n v="49142.19"/>
    <n v="332"/>
    <s v="Suburban"/>
    <s v="FL"/>
    <n v="97030.8"/>
    <n v="950"/>
    <n v="450"/>
    <n v="6000"/>
    <n v="16.171800000000001"/>
    <x v="1"/>
  </r>
  <r>
    <n v="130"/>
    <x v="2"/>
    <x v="3"/>
    <x v="0"/>
    <x v="17"/>
    <x v="2"/>
    <s v="Tenant C"/>
    <n v="95341.7"/>
    <n v="0"/>
    <n v="333"/>
    <n v="99"/>
    <x v="1"/>
    <n v="63"/>
    <s v="Suburban"/>
    <s v="OR"/>
    <s v="Monopole"/>
    <n v="90"/>
    <n v="2018"/>
    <s v="Tenant A"/>
    <n v="94621.28"/>
    <n v="333"/>
    <s v="Rural"/>
    <s v="FL"/>
    <n v="30398.400000000001"/>
    <n v="975"/>
    <n v="350"/>
    <n v="7500"/>
    <n v="4.0531199999999998"/>
    <x v="2"/>
  </r>
  <r>
    <n v="134"/>
    <x v="0"/>
    <x v="0"/>
    <x v="1"/>
    <x v="29"/>
    <x v="2"/>
    <s v="Tenant D"/>
    <n v="103370.04"/>
    <n v="0"/>
    <n v="334"/>
    <n v="3"/>
    <x v="1"/>
    <n v="63"/>
    <s v="Suburban"/>
    <s v="FL"/>
    <s v="Monopole"/>
    <n v="110"/>
    <n v="2017"/>
    <s v="Tenant A"/>
    <n v="104673"/>
    <n v="334"/>
    <s v="Suburban"/>
    <s v="OR"/>
    <n v="112645.2"/>
    <n v="875"/>
    <n v="375"/>
    <n v="6000"/>
    <n v="18.7742"/>
    <x v="1"/>
  </r>
  <r>
    <n v="175"/>
    <x v="0"/>
    <x v="0"/>
    <x v="1"/>
    <x v="10"/>
    <x v="2"/>
    <s v="Tenant B"/>
    <n v="96691.32"/>
    <n v="0"/>
    <n v="335"/>
    <n v="83"/>
    <x v="1"/>
    <n v="62"/>
    <s v="Rural"/>
    <s v="TX"/>
    <s v="SST"/>
    <n v="120"/>
    <n v="2018"/>
    <s v="Tenant D"/>
    <n v="24696.31"/>
    <n v="335"/>
    <s v="Suburban"/>
    <s v="TX"/>
    <n v="128043.6"/>
    <n v="825"/>
    <n v="350"/>
    <n v="5700"/>
    <s v="22.46378947368421"/>
    <x v="1"/>
  </r>
  <r>
    <n v="178"/>
    <x v="0"/>
    <x v="3"/>
    <x v="1"/>
    <x v="12"/>
    <x v="2"/>
    <s v="Tenant C"/>
    <n v="108794.88"/>
    <n v="0"/>
    <n v="336"/>
    <n v="150"/>
    <x v="1"/>
    <n v="62"/>
    <s v="Rural"/>
    <s v="PA"/>
    <s v="Monopole"/>
    <n v="205"/>
    <n v="2019"/>
    <s v="Tenant A"/>
    <n v="26139.24"/>
    <n v="336"/>
    <s v="Rural"/>
    <s v="OR"/>
    <n v="38684.400000000001"/>
    <n v="950"/>
    <n v="300"/>
    <n v="7800"/>
    <s v="4.959538461538462"/>
    <x v="2"/>
  </r>
  <r>
    <n v="179"/>
    <x v="0"/>
    <x v="4"/>
    <x v="1"/>
    <x v="13"/>
    <x v="2"/>
    <s v="Tenant B"/>
    <n v="95797.08"/>
    <n v="0"/>
    <n v="337"/>
    <n v="373"/>
    <x v="1"/>
    <n v="62"/>
    <s v="Rural"/>
    <s v="PA"/>
    <s v="Monopole"/>
    <n v="165"/>
    <n v="2021"/>
    <s v="Tenant C"/>
    <n v="28458"/>
    <n v="337"/>
    <s v="Suburban"/>
    <s v="FL"/>
    <n v="121363.2"/>
    <n v="875"/>
    <n v="400"/>
    <n v="5700"/>
    <s v="21.29178947368421"/>
    <x v="1"/>
  </r>
  <r>
    <n v="199"/>
    <x v="1"/>
    <x v="2"/>
    <x v="0"/>
    <x v="1"/>
    <x v="2"/>
    <s v="Tenant A"/>
    <n v="35300.120000000003"/>
    <n v="0"/>
    <n v="338"/>
    <n v="209"/>
    <x v="1"/>
    <n v="62"/>
    <s v="Rural"/>
    <s v="PA"/>
    <s v="Monopole"/>
    <n v="240"/>
    <n v="2019"/>
    <s v="Tenant D"/>
    <s v="30456.980000000003"/>
    <n v="338"/>
    <s v="Rural"/>
    <s v="PA"/>
    <n v="43828.800000000003"/>
    <n v="825"/>
    <n v="175"/>
    <n v="7800"/>
    <s v="5.619076923076922"/>
    <x v="0"/>
  </r>
  <r>
    <n v="204"/>
    <x v="0"/>
    <x v="0"/>
    <x v="1"/>
    <x v="25"/>
    <x v="2"/>
    <s v="Tenant C"/>
    <n v="106868.14"/>
    <n v="0"/>
    <n v="339"/>
    <n v="74"/>
    <x v="1"/>
    <n v="62"/>
    <s v="Rural"/>
    <s v="TX"/>
    <s v="SST"/>
    <n v="125"/>
    <n v="2018"/>
    <s v="Tenant D"/>
    <n v="31138.639999999999"/>
    <n v="339"/>
    <s v="Suburban"/>
    <s v="FL"/>
    <n v="111172.8"/>
    <n v="950"/>
    <n v="375"/>
    <n v="6900"/>
    <s v="16.112000000000002"/>
    <x v="1"/>
  </r>
  <r>
    <n v="209"/>
    <x v="1"/>
    <x v="2"/>
    <x v="1"/>
    <x v="8"/>
    <x v="2"/>
    <s v="Tenant D"/>
    <s v="30456.980000000003"/>
    <n v="0"/>
    <n v="340"/>
    <n v="402"/>
    <x v="1"/>
    <n v="62"/>
    <s v="Rural"/>
    <s v="OR"/>
    <s v="Monopole"/>
    <n v="165"/>
    <n v="2021"/>
    <s v="Tenant D"/>
    <n v="33697.199999999997"/>
    <n v="340"/>
    <s v="Suburban"/>
    <s v="OR"/>
    <n v="118746"/>
    <n v="950"/>
    <n v="275"/>
    <n v="8100"/>
    <n v="14.66"/>
    <x v="1"/>
  </r>
  <r>
    <n v="227"/>
    <x v="1"/>
    <x v="0"/>
    <x v="0"/>
    <x v="8"/>
    <x v="2"/>
    <s v="Tenant C"/>
    <n v="30646.080000000002"/>
    <n v="0"/>
    <n v="341"/>
    <n v="424"/>
    <x v="1"/>
    <n v="62"/>
    <s v="Rural"/>
    <s v="FL"/>
    <s v="Monopole"/>
    <n v="190"/>
    <n v="2022"/>
    <s v="Tenant A"/>
    <n v="34626.959999999999"/>
    <n v="341"/>
    <s v="Suburban"/>
    <s v="FL"/>
    <n v="120495.6"/>
    <n v="825"/>
    <m/>
    <n v="9900"/>
    <s v="12.171272727272726"/>
    <x v="1"/>
  </r>
  <r>
    <n v="228"/>
    <x v="1"/>
    <x v="3"/>
    <x v="0"/>
    <x v="0"/>
    <x v="2"/>
    <s v="Tenant A"/>
    <n v="36587.160000000003"/>
    <n v="0"/>
    <n v="342"/>
    <n v="218"/>
    <x v="1"/>
    <n v="62"/>
    <s v="Rural"/>
    <s v="FL"/>
    <s v="Monopole"/>
    <n v="205"/>
    <n v="2019"/>
    <s v="Tenant D"/>
    <s v="35850.600000000006"/>
    <n v="342"/>
    <s v="Rural"/>
    <s v="PA"/>
    <n v="27154.799999999999"/>
    <n v="975"/>
    <n v="175"/>
    <n v="9600"/>
    <s v="2.8286249999999997"/>
    <x v="2"/>
  </r>
  <r>
    <n v="253"/>
    <x v="1"/>
    <x v="2"/>
    <x v="0"/>
    <x v="23"/>
    <x v="2"/>
    <s v="Tenant D"/>
    <n v="32231.42"/>
    <n v="0"/>
    <n v="343"/>
    <n v="374"/>
    <x v="1"/>
    <n v="62"/>
    <s v="Rural"/>
    <s v="PA"/>
    <s v="Monopole"/>
    <n v="175"/>
    <n v="2021"/>
    <s v="Tenant C"/>
    <s v="35860.799999999996"/>
    <n v="343"/>
    <s v="Rural"/>
    <s v="FL"/>
    <n v="33500.400000000001"/>
    <n v="875"/>
    <n v="150"/>
    <n v="8700"/>
    <s v="3.8506206896551727"/>
    <x v="2"/>
  </r>
  <r>
    <n v="262"/>
    <x v="2"/>
    <x v="4"/>
    <x v="0"/>
    <x v="9"/>
    <x v="3"/>
    <s v="Tenant B"/>
    <n v="130727.5"/>
    <n v="0"/>
    <n v="344"/>
    <n v="85"/>
    <x v="1"/>
    <n v="62"/>
    <s v="Rural"/>
    <s v="TX"/>
    <s v="SST"/>
    <n v="155"/>
    <n v="2018"/>
    <s v="Tenant C"/>
    <n v="36601.949999999997"/>
    <n v="344"/>
    <s v="Rural"/>
    <s v="OR"/>
    <n v="35658"/>
    <n v="950"/>
    <n v="325"/>
    <n v="7500"/>
    <n v="4.7544000000000004"/>
    <x v="2"/>
  </r>
  <r>
    <n v="264"/>
    <x v="0"/>
    <x v="2"/>
    <x v="0"/>
    <x v="30"/>
    <x v="3"/>
    <s v="Tenant C"/>
    <n v="102783.75"/>
    <n v="0"/>
    <n v="345"/>
    <n v="119"/>
    <x v="1"/>
    <n v="62"/>
    <s v="Rural"/>
    <s v="AZ"/>
    <s v="SST"/>
    <n v="155"/>
    <n v="2018"/>
    <s v="Tenant B"/>
    <n v="37741.599999999999"/>
    <n v="345"/>
    <s v="Suburban"/>
    <s v="AZ"/>
    <n v="110974.8"/>
    <n v="975"/>
    <n v="450"/>
    <n v="6300"/>
    <s v="17.61504761904762"/>
    <x v="1"/>
  </r>
  <r>
    <n v="279"/>
    <x v="1"/>
    <x v="4"/>
    <x v="0"/>
    <x v="11"/>
    <x v="4"/>
    <s v="Tenant A"/>
    <n v="45005.2"/>
    <n v="0"/>
    <n v="346"/>
    <n v="263"/>
    <x v="1"/>
    <n v="62"/>
    <s v="Rural"/>
    <s v="PA"/>
    <s v="Monopole"/>
    <n v="245"/>
    <n v="2020"/>
    <s v="Tenant A"/>
    <n v="37775"/>
    <n v="346"/>
    <s v="Rural"/>
    <s v="TX"/>
    <n v="41354.400000000001"/>
    <n v="875"/>
    <n v="275"/>
    <n v="7200"/>
    <s v="5.743666666666667"/>
    <x v="0"/>
  </r>
  <r>
    <n v="280"/>
    <x v="0"/>
    <x v="4"/>
    <x v="0"/>
    <x v="24"/>
    <x v="4"/>
    <s v="Tenant A"/>
    <n v="94686.74"/>
    <n v="0"/>
    <n v="347"/>
    <n v="289"/>
    <x v="1"/>
    <n v="62"/>
    <s v="Rural"/>
    <s v="PA"/>
    <s v="Monopole"/>
    <n v="175"/>
    <n v="2021"/>
    <s v="Tenant B"/>
    <n v="41454"/>
    <n v="347"/>
    <s v="Suburban"/>
    <s v="OR"/>
    <n v="104378.4"/>
    <n v="825"/>
    <n v="225"/>
    <n v="7200"/>
    <n v="14.497"/>
    <x v="1"/>
  </r>
  <r>
    <n v="300"/>
    <x v="0"/>
    <x v="1"/>
    <x v="1"/>
    <x v="22"/>
    <x v="4"/>
    <s v="Tenant C"/>
    <n v="98055.6"/>
    <n v="0"/>
    <n v="348"/>
    <n v="363"/>
    <x v="1"/>
    <n v="62"/>
    <s v="Rural"/>
    <s v="OR"/>
    <s v="Monopole"/>
    <n v="185"/>
    <n v="2021"/>
    <s v="Tenant C"/>
    <n v="44119.199999999997"/>
    <n v="348"/>
    <s v="Suburban"/>
    <s v="FL"/>
    <n v="123667.2"/>
    <n v="975"/>
    <n v="275"/>
    <n v="8400"/>
    <s v="14.722285714285714"/>
    <x v="1"/>
  </r>
  <r>
    <n v="305"/>
    <x v="1"/>
    <x v="4"/>
    <x v="0"/>
    <x v="31"/>
    <x v="4"/>
    <s v="Tenant B"/>
    <n v="34915.199999999997"/>
    <n v="0"/>
    <n v="349"/>
    <n v="470"/>
    <x v="1"/>
    <n v="62"/>
    <s v="Rural"/>
    <s v="FL"/>
    <s v="Monopole"/>
    <n v="170"/>
    <n v="2022"/>
    <s v="Tenant B"/>
    <n v="49023.75"/>
    <n v="349"/>
    <s v="Rural"/>
    <s v="TX"/>
    <n v="37940.400000000001"/>
    <n v="875"/>
    <n v="375"/>
    <n v="6000"/>
    <n v="6.3234000000000004"/>
    <x v="0"/>
  </r>
  <r>
    <n v="322"/>
    <x v="0"/>
    <x v="3"/>
    <x v="1"/>
    <x v="19"/>
    <x v="4"/>
    <s v="Tenant A"/>
    <n v="105723.6"/>
    <n v="0"/>
    <n v="350"/>
    <n v="81"/>
    <x v="1"/>
    <n v="61"/>
    <s v="Rural"/>
    <s v="PA"/>
    <s v="SST"/>
    <n v="180"/>
    <n v="2018"/>
    <s v="Tenant A"/>
    <n v="22632.19"/>
    <n v="350"/>
    <s v="Rural"/>
    <s v="OR"/>
    <n v="27264"/>
    <n v="950"/>
    <n v="325"/>
    <n v="7500"/>
    <n v="3.6352000000000002"/>
    <x v="2"/>
  </r>
  <r>
    <n v="334"/>
    <x v="0"/>
    <x v="3"/>
    <x v="0"/>
    <x v="24"/>
    <x v="4"/>
    <s v="Tenant B"/>
    <n v="112645.2"/>
    <n v="0"/>
    <n v="351"/>
    <n v="46"/>
    <x v="1"/>
    <n v="61"/>
    <s v="Rural"/>
    <s v="PA"/>
    <s v="SST"/>
    <n v="195"/>
    <n v="2018"/>
    <s v="Tenant A"/>
    <n v="23549.4"/>
    <n v="351"/>
    <s v="Suburban"/>
    <s v="AZ"/>
    <n v="126897.60000000001"/>
    <n v="975"/>
    <n v="450"/>
    <n v="6300"/>
    <s v="20.142476190476188"/>
    <x v="1"/>
  </r>
  <r>
    <n v="346"/>
    <x v="1"/>
    <x v="4"/>
    <x v="1"/>
    <x v="3"/>
    <x v="4"/>
    <s v="Tenant B"/>
    <n v="41354.400000000001"/>
    <n v="0"/>
    <n v="352"/>
    <n v="87"/>
    <x v="1"/>
    <n v="61"/>
    <s v="Rural"/>
    <s v="AZ"/>
    <s v="Monopole"/>
    <n v="195"/>
    <n v="2018"/>
    <s v="Tenant C"/>
    <n v="26408.17"/>
    <n v="352"/>
    <s v="Rural"/>
    <s v="AZ"/>
    <s v="33214.799999999996"/>
    <n v="825"/>
    <n v="175"/>
    <n v="7800"/>
    <s v="4.2583076923076915"/>
    <x v="2"/>
  </r>
  <r>
    <n v="362"/>
    <x v="0"/>
    <x v="1"/>
    <x v="1"/>
    <x v="5"/>
    <x v="4"/>
    <s v="Tenant C"/>
    <n v="116605.2"/>
    <n v="0"/>
    <n v="353"/>
    <n v="254"/>
    <x v="1"/>
    <n v="61"/>
    <s v="Rural"/>
    <s v="TX"/>
    <s v="SST"/>
    <n v="105"/>
    <n v="2019"/>
    <s v="Tenant A"/>
    <n v="29835.82"/>
    <n v="353"/>
    <s v="Rural"/>
    <s v="OR"/>
    <n v="38110.800000000003"/>
    <n v="950"/>
    <n v="200"/>
    <n v="9000"/>
    <s v="4.234533333333333"/>
    <x v="2"/>
  </r>
  <r>
    <n v="368"/>
    <x v="0"/>
    <x v="1"/>
    <x v="1"/>
    <x v="24"/>
    <x v="4"/>
    <s v="Tenant A"/>
    <n v="96958.8"/>
    <n v="0"/>
    <n v="354"/>
    <n v="185"/>
    <x v="1"/>
    <n v="61"/>
    <s v="Rural"/>
    <s v="TX"/>
    <s v="SST"/>
    <n v="110"/>
    <n v="2019"/>
    <s v="Tenant D"/>
    <n v="30366.880000000001"/>
    <n v="354"/>
    <s v="Rural"/>
    <s v="PA"/>
    <n v="37770"/>
    <n v="975"/>
    <n v="275"/>
    <n v="8400"/>
    <s v="4.496428571428571"/>
    <x v="2"/>
  </r>
  <r>
    <n v="369"/>
    <x v="0"/>
    <x v="1"/>
    <x v="0"/>
    <x v="19"/>
    <x v="4"/>
    <s v="Tenant B"/>
    <n v="126607.2"/>
    <n v="0"/>
    <n v="355"/>
    <n v="140"/>
    <x v="1"/>
    <n v="61"/>
    <s v="Rural"/>
    <s v="AZ"/>
    <s v="SST"/>
    <n v="95"/>
    <n v="2019"/>
    <s v="Tenant C"/>
    <n v="31352.68"/>
    <n v="355"/>
    <s v="Suburban"/>
    <s v="OR"/>
    <n v="98618.4"/>
    <n v="950"/>
    <n v="275"/>
    <n v="8100"/>
    <s v="12.17511111111111"/>
    <x v="1"/>
  </r>
  <r>
    <n v="371"/>
    <x v="1"/>
    <x v="4"/>
    <x v="1"/>
    <x v="9"/>
    <x v="4"/>
    <s v="Tenant D"/>
    <s v="35968.799999999996"/>
    <n v="0"/>
    <n v="356"/>
    <n v="219"/>
    <x v="1"/>
    <n v="61"/>
    <s v="Rural"/>
    <s v="TX"/>
    <s v="SST"/>
    <n v="110"/>
    <n v="2019"/>
    <s v="Tenant D"/>
    <n v="31851.94"/>
    <n v="356"/>
    <s v="Rural"/>
    <s v="TX"/>
    <n v="38506.800000000003"/>
    <n v="875"/>
    <n v="400"/>
    <n v="5700"/>
    <n v="6.75557894736842"/>
    <x v="0"/>
  </r>
  <r>
    <n v="379"/>
    <x v="0"/>
    <x v="1"/>
    <x v="0"/>
    <x v="20"/>
    <x v="4"/>
    <s v="Tenant A"/>
    <n v="104562"/>
    <n v="0"/>
    <n v="357"/>
    <n v="105"/>
    <x v="1"/>
    <n v="61"/>
    <s v="Rural"/>
    <s v="PA"/>
    <s v="SST"/>
    <n v="160"/>
    <n v="2018"/>
    <s v="Tenant D"/>
    <n v="33072.9"/>
    <n v="357"/>
    <s v="Rural"/>
    <s v="AZ"/>
    <n v="25762.799999999999"/>
    <n v="950"/>
    <n v="250"/>
    <n v="8400"/>
    <s v="3.0669999999999997"/>
    <x v="2"/>
  </r>
  <r>
    <n v="384"/>
    <x v="0"/>
    <x v="0"/>
    <x v="1"/>
    <x v="27"/>
    <x v="4"/>
    <s v="Tenant B"/>
    <n v="98467.199999999997"/>
    <n v="0"/>
    <n v="358"/>
    <n v="33"/>
    <x v="1"/>
    <n v="61"/>
    <s v="Rural"/>
    <s v="OR"/>
    <s v="SST"/>
    <n v="160"/>
    <n v="2017"/>
    <s v="Tenant C"/>
    <n v="33341"/>
    <n v="358"/>
    <s v="Rural"/>
    <s v="PA"/>
    <n v="37182"/>
    <n v="950"/>
    <n v="225"/>
    <n v="8700"/>
    <s v="4.273793103448276"/>
    <x v="2"/>
  </r>
  <r>
    <n v="393"/>
    <x v="2"/>
    <x v="3"/>
    <x v="1"/>
    <x v="3"/>
    <x v="4"/>
    <s v="Tenant D"/>
    <n v="108532.8"/>
    <n v="0"/>
    <n v="359"/>
    <n v="261"/>
    <x v="1"/>
    <n v="61"/>
    <s v="Rural"/>
    <s v="AZ"/>
    <s v="SST"/>
    <n v="115"/>
    <n v="2020"/>
    <s v="Tenant D"/>
    <n v="35066.25"/>
    <n v="359"/>
    <s v="Urban"/>
    <s v="PA"/>
    <n v="104685.6"/>
    <n v="825"/>
    <n v="350"/>
    <n v="5700"/>
    <s v="18.365894736842105"/>
    <x v="1"/>
  </r>
  <r>
    <n v="395"/>
    <x v="1"/>
    <x v="3"/>
    <x v="1"/>
    <x v="29"/>
    <x v="4"/>
    <s v="Tenant C"/>
    <n v="45291.6"/>
    <n v="0"/>
    <n v="360"/>
    <n v="108"/>
    <x v="1"/>
    <n v="61"/>
    <s v="Rural"/>
    <s v="FL"/>
    <s v="SST"/>
    <n v="185"/>
    <n v="2018"/>
    <s v="Tenant B"/>
    <n v="37694.910000000003"/>
    <n v="360"/>
    <s v="Rural"/>
    <s v="PA"/>
    <n v="42669.599999999999"/>
    <n v="875"/>
    <n v="175"/>
    <n v="8400"/>
    <s v="5.079714285714285"/>
    <x v="0"/>
  </r>
  <r>
    <n v="400"/>
    <x v="0"/>
    <x v="2"/>
    <x v="0"/>
    <x v="25"/>
    <x v="4"/>
    <s v="Tenant A"/>
    <n v="104485.2"/>
    <n v="0"/>
    <n v="361"/>
    <n v="80"/>
    <x v="1"/>
    <n v="61"/>
    <s v="Rural"/>
    <s v="OR"/>
    <s v="SST"/>
    <n v="170"/>
    <n v="2018"/>
    <s v="Tenant B"/>
    <n v="40431.300000000003"/>
    <n v="361"/>
    <s v="Suburban"/>
    <s v="PA"/>
    <n v="119652"/>
    <n v="875"/>
    <n v="175"/>
    <n v="8400"/>
    <s v="14.244285714285716"/>
    <x v="1"/>
  </r>
  <r>
    <n v="403"/>
    <x v="2"/>
    <x v="0"/>
    <x v="0"/>
    <x v="15"/>
    <x v="4"/>
    <s v="Tenant A"/>
    <n v="104416.8"/>
    <n v="0"/>
    <n v="362"/>
    <n v="177"/>
    <x v="1"/>
    <n v="60"/>
    <s v="Rural"/>
    <s v="OR"/>
    <s v="SST"/>
    <n v="150"/>
    <n v="2019"/>
    <s v="Tenant D"/>
    <s v="28757.800000000003"/>
    <n v="362"/>
    <s v="Suburban"/>
    <s v="FL"/>
    <n v="116605.2"/>
    <n v="975"/>
    <n v="300"/>
    <n v="8100"/>
    <s v="14.395703703703704"/>
    <x v="1"/>
  </r>
  <r>
    <n v="404"/>
    <x v="1"/>
    <x v="3"/>
    <x v="0"/>
    <x v="2"/>
    <x v="4"/>
    <s v="Tenant C"/>
    <n v="24715.200000000001"/>
    <n v="0"/>
    <n v="363"/>
    <n v="193"/>
    <x v="1"/>
    <n v="60"/>
    <s v="Rural"/>
    <s v="PA"/>
    <s v="SST"/>
    <n v="155"/>
    <n v="2019"/>
    <s v="Tenant C"/>
    <n v="29115.02"/>
    <n v="363"/>
    <s v="Rural"/>
    <s v="OR"/>
    <n v="44119.199999999997"/>
    <n v="975"/>
    <n v="275"/>
    <n v="8400"/>
    <s v="5.252285714285714"/>
    <x v="0"/>
  </r>
  <r>
    <n v="421"/>
    <x v="2"/>
    <x v="1"/>
    <x v="1"/>
    <x v="1"/>
    <x v="5"/>
    <s v="Tenant D"/>
    <n v="118322.31"/>
    <n v="0"/>
    <n v="364"/>
    <n v="192"/>
    <x v="1"/>
    <n v="60"/>
    <s v="Rural"/>
    <s v="OR"/>
    <s v="SST"/>
    <n v="135"/>
    <n v="2019"/>
    <s v="Tenant A"/>
    <n v="30542.84"/>
    <n v="364"/>
    <s v="Urban"/>
    <s v="AZ"/>
    <n v="108694.8"/>
    <n v="825"/>
    <n v="325"/>
    <n v="6000"/>
    <n v="18.1158"/>
    <x v="1"/>
  </r>
  <r>
    <n v="432"/>
    <x v="1"/>
    <x v="1"/>
    <x v="1"/>
    <x v="16"/>
    <x v="5"/>
    <s v="Tenant D"/>
    <n v="41217.300000000003"/>
    <n v="0"/>
    <n v="365"/>
    <n v="221"/>
    <x v="1"/>
    <n v="60"/>
    <s v="Rural"/>
    <s v="FL"/>
    <s v="SST"/>
    <n v="145"/>
    <n v="2019"/>
    <s v="Tenant A"/>
    <n v="31720.68"/>
    <n v="365"/>
    <s v="Rural"/>
    <s v="AZ"/>
    <n v="33969.599999999999"/>
    <n v="875"/>
    <n v="175"/>
    <n v="8400"/>
    <n v="4.0439999999999996"/>
    <x v="2"/>
  </r>
  <r>
    <n v="434"/>
    <x v="0"/>
    <x v="1"/>
    <x v="1"/>
    <x v="1"/>
    <x v="5"/>
    <s v="Tenant A"/>
    <n v="104253.57"/>
    <n v="0"/>
    <n v="366"/>
    <n v="253"/>
    <x v="1"/>
    <n v="60"/>
    <s v="Rural"/>
    <s v="PA"/>
    <s v="SST"/>
    <n v="155"/>
    <n v="2019"/>
    <s v="Tenant D"/>
    <n v="32231.42"/>
    <n v="366"/>
    <s v="Rural"/>
    <s v="OR"/>
    <n v="46180.800000000003"/>
    <n v="875"/>
    <n v="350"/>
    <n v="6300"/>
    <s v="7.330285714285713"/>
    <x v="0"/>
  </r>
  <r>
    <n v="438"/>
    <x v="0"/>
    <x v="1"/>
    <x v="0"/>
    <x v="8"/>
    <x v="5"/>
    <s v="Tenant B"/>
    <n v="108171.12"/>
    <n v="0"/>
    <n v="367"/>
    <n v="199"/>
    <x v="1"/>
    <n v="60"/>
    <s v="Rural"/>
    <s v="PA"/>
    <s v="SST"/>
    <n v="120"/>
    <n v="2019"/>
    <s v="Tenant A"/>
    <n v="35300.120000000003"/>
    <n v="367"/>
    <s v="Rural"/>
    <s v="TX"/>
    <n v="31366.799999999999"/>
    <n v="950"/>
    <n v="325"/>
    <n v="7500"/>
    <n v="4.1822400000000002"/>
    <x v="2"/>
  </r>
  <r>
    <n v="457"/>
    <x v="0"/>
    <x v="3"/>
    <x v="1"/>
    <x v="2"/>
    <x v="5"/>
    <s v="Tenant B"/>
    <n v="131089.71"/>
    <n v="0"/>
    <n v="368"/>
    <n v="160"/>
    <x v="1"/>
    <n v="60"/>
    <s v="Rural"/>
    <s v="OR"/>
    <s v="SST"/>
    <n v="145"/>
    <n v="2019"/>
    <s v="Tenant C"/>
    <n v="36601.4"/>
    <n v="368"/>
    <s v="Suburban"/>
    <s v="FL"/>
    <n v="96958.8"/>
    <n v="950"/>
    <n v="200"/>
    <n v="9000"/>
    <n v="10.773199999999999"/>
    <x v="1"/>
  </r>
  <r>
    <n v="459"/>
    <x v="0"/>
    <x v="3"/>
    <x v="0"/>
    <x v="16"/>
    <x v="5"/>
    <s v="Tenant D"/>
    <n v="132718.23000000001"/>
    <n v="0"/>
    <n v="369"/>
    <n v="127"/>
    <x v="1"/>
    <n v="59"/>
    <s v="Rural"/>
    <s v="PA"/>
    <s v="Monopole"/>
    <n v="170"/>
    <n v="2019"/>
    <s v="Tenant D"/>
    <n v="28017.919999999998"/>
    <n v="369"/>
    <s v="Suburban"/>
    <s v="FL"/>
    <n v="126607.2"/>
    <n v="875"/>
    <n v="350"/>
    <n v="6300"/>
    <s v="20.09638095238095"/>
    <x v="1"/>
  </r>
  <r>
    <n v="487"/>
    <x v="0"/>
    <x v="1"/>
    <x v="0"/>
    <x v="9"/>
    <x v="5"/>
    <s v="Tenant B"/>
    <n v="133226.25"/>
    <n v="0"/>
    <n v="370"/>
    <n v="321"/>
    <x v="1"/>
    <n v="59"/>
    <s v="Rural"/>
    <s v="FL"/>
    <s v="SST"/>
    <n v="110"/>
    <n v="2021"/>
    <s v="Tenant A"/>
    <n v="30102"/>
    <n v="370"/>
    <s v="Rural"/>
    <s v="OR"/>
    <n v="33554.400000000001"/>
    <n v="825"/>
    <n v="350"/>
    <n v="5700"/>
    <s v="5.886736842105264"/>
    <x v="0"/>
  </r>
  <r>
    <n v="3"/>
    <x v="0"/>
    <x v="1"/>
    <x v="1"/>
    <x v="16"/>
    <x v="0"/>
    <s v="Tenant A"/>
    <n v="104673"/>
    <n v="0"/>
    <n v="371"/>
    <n v="418"/>
    <x v="1"/>
    <n v="59"/>
    <s v="Rural"/>
    <s v="FL"/>
    <s v="SST"/>
    <n v="115"/>
    <n v="2022"/>
    <s v="Tenant D"/>
    <n v="31531.05"/>
    <n v="371"/>
    <s v="Rural"/>
    <s v="TX"/>
    <s v="35968.799999999996"/>
    <n v="825"/>
    <n v="350"/>
    <n v="5700"/>
    <s v="6.310315789473684"/>
    <x v="0"/>
  </r>
  <r>
    <n v="10"/>
    <x v="0"/>
    <x v="3"/>
    <x v="0"/>
    <x v="5"/>
    <x v="0"/>
    <s v="Tenant C"/>
    <n v="96442"/>
    <n v="0"/>
    <n v="372"/>
    <n v="482"/>
    <x v="1"/>
    <n v="59"/>
    <s v="Rural"/>
    <s v="PA"/>
    <s v="SST"/>
    <n v="110"/>
    <n v="2022"/>
    <s v="Tenant B"/>
    <n v="32543.75"/>
    <n v="372"/>
    <s v="Urban"/>
    <s v="FL"/>
    <n v="112762.8"/>
    <n v="950"/>
    <n v="350"/>
    <n v="7200"/>
    <n v="15.6615"/>
    <x v="1"/>
  </r>
  <r>
    <n v="35"/>
    <x v="0"/>
    <x v="4"/>
    <x v="0"/>
    <x v="18"/>
    <x v="0"/>
    <s v="Tenant C"/>
    <n v="90675"/>
    <n v="0"/>
    <n v="373"/>
    <n v="183"/>
    <x v="1"/>
    <n v="59"/>
    <s v="Rural"/>
    <s v="FL"/>
    <s v="Monopole"/>
    <n v="195"/>
    <n v="2019"/>
    <s v="Tenant C"/>
    <n v="34563.42"/>
    <n v="373"/>
    <s v="Rural"/>
    <s v="PA"/>
    <n v="28458"/>
    <n v="975"/>
    <n v="225"/>
    <n v="9000"/>
    <n v="3.1619999999999999"/>
    <x v="2"/>
  </r>
  <r>
    <n v="46"/>
    <x v="1"/>
    <x v="2"/>
    <x v="0"/>
    <x v="3"/>
    <x v="1"/>
    <s v="Tenant A"/>
    <n v="23549.4"/>
    <n v="0"/>
    <n v="374"/>
    <n v="248"/>
    <x v="1"/>
    <n v="59"/>
    <s v="Rural"/>
    <s v="OR"/>
    <s v="Monopole"/>
    <n v="160"/>
    <n v="2019"/>
    <s v="Tenant C"/>
    <n v="38049.480000000003"/>
    <n v="374"/>
    <s v="Rural"/>
    <s v="PA"/>
    <s v="35860.799999999996"/>
    <n v="975"/>
    <m/>
    <n v="11700"/>
    <s v="3.0650256410256405"/>
    <x v="2"/>
  </r>
  <r>
    <n v="65"/>
    <x v="0"/>
    <x v="2"/>
    <x v="1"/>
    <x v="23"/>
    <x v="1"/>
    <s v="Tenant A"/>
    <n v="107742.12"/>
    <n v="0"/>
    <n v="375"/>
    <n v="375"/>
    <x v="1"/>
    <n v="59"/>
    <s v="Rural"/>
    <s v="OR"/>
    <s v="SST"/>
    <n v="115"/>
    <n v="2021"/>
    <s v="Tenant D"/>
    <n v="39402"/>
    <n v="375"/>
    <s v="Rural"/>
    <s v="OR"/>
    <n v="39402"/>
    <n v="825"/>
    <n v="150"/>
    <n v="8100"/>
    <s v="4.864444444444445"/>
    <x v="2"/>
  </r>
  <r>
    <n v="75"/>
    <x v="2"/>
    <x v="0"/>
    <x v="0"/>
    <x v="30"/>
    <x v="1"/>
    <s v="Tenant B"/>
    <n v="95874.46"/>
    <n v="0"/>
    <n v="376"/>
    <n v="143"/>
    <x v="1"/>
    <n v="59"/>
    <s v="Rural"/>
    <s v="PA"/>
    <s v="Monopole"/>
    <n v="160"/>
    <n v="2019"/>
    <s v="Tenant B"/>
    <n v="40195.440000000002"/>
    <n v="376"/>
    <s v="Rural"/>
    <s v="OR"/>
    <n v="35329.199999999997"/>
    <n v="950"/>
    <n v="200"/>
    <n v="9000"/>
    <s v="3.9254666666666664"/>
    <x v="2"/>
  </r>
  <r>
    <n v="80"/>
    <x v="1"/>
    <x v="3"/>
    <x v="0"/>
    <x v="10"/>
    <x v="1"/>
    <s v="Tenant B"/>
    <n v="40431.300000000003"/>
    <n v="0"/>
    <n v="377"/>
    <n v="467"/>
    <x v="1"/>
    <n v="59"/>
    <s v="Rural"/>
    <s v="TX"/>
    <s v="Monopole"/>
    <n v="95"/>
    <n v="2022"/>
    <s v="Tenant B"/>
    <n v="47280"/>
    <n v="377"/>
    <s v="Rural"/>
    <s v="PA"/>
    <n v="33474"/>
    <n v="975"/>
    <n v="300"/>
    <n v="8100"/>
    <s v="4.132592592592593"/>
    <x v="2"/>
  </r>
  <r>
    <n v="83"/>
    <x v="1"/>
    <x v="4"/>
    <x v="0"/>
    <x v="1"/>
    <x v="1"/>
    <s v="Tenant D"/>
    <n v="24696.31"/>
    <n v="0"/>
    <n v="378"/>
    <n v="211"/>
    <x v="1"/>
    <n v="59"/>
    <s v="Suburban"/>
    <s v="OR"/>
    <s v="Stealth - Flagpole"/>
    <n v="170"/>
    <n v="2019"/>
    <s v="Tenant D"/>
    <n v="100977.72"/>
    <n v="378"/>
    <s v="Rural"/>
    <s v="FL"/>
    <n v="42788.4"/>
    <n v="825"/>
    <n v="350"/>
    <n v="5700"/>
    <s v="7.506736842105264"/>
    <x v="0"/>
  </r>
  <r>
    <n v="114"/>
    <x v="0"/>
    <x v="4"/>
    <x v="1"/>
    <x v="0"/>
    <x v="1"/>
    <s v="Tenant C"/>
    <n v="101104.8"/>
    <n v="0"/>
    <n v="379"/>
    <n v="317"/>
    <x v="1"/>
    <n v="58"/>
    <s v="Rural"/>
    <s v="PA"/>
    <s v="Monopole"/>
    <n v="135"/>
    <n v="2021"/>
    <s v="Tenant B"/>
    <n v="27866.400000000001"/>
    <n v="379"/>
    <s v="Suburban"/>
    <s v="FL"/>
    <n v="104562"/>
    <n v="950"/>
    <n v="275"/>
    <n v="8100"/>
    <s v="12.908888888888889"/>
    <x v="1"/>
  </r>
  <r>
    <n v="117"/>
    <x v="1"/>
    <x v="3"/>
    <x v="0"/>
    <x v="2"/>
    <x v="1"/>
    <s v="Tenant D"/>
    <n v="35308.35"/>
    <n v="0"/>
    <n v="380"/>
    <n v="391"/>
    <x v="1"/>
    <n v="58"/>
    <s v="Rural"/>
    <s v="OR"/>
    <s v="Monopole"/>
    <n v="120"/>
    <n v="2021"/>
    <s v="Tenant B"/>
    <n v="29400"/>
    <n v="380"/>
    <s v="Urban"/>
    <s v="FL"/>
    <n v="114583.2"/>
    <n v="975"/>
    <n v="700"/>
    <n v="3300"/>
    <s v="34.72218181818182"/>
    <x v="1"/>
  </r>
  <r>
    <n v="119"/>
    <x v="1"/>
    <x v="0"/>
    <x v="0"/>
    <x v="23"/>
    <x v="1"/>
    <s v="Tenant B"/>
    <n v="37741.599999999999"/>
    <n v="0"/>
    <n v="381"/>
    <n v="333"/>
    <x v="1"/>
    <n v="58"/>
    <s v="Rural"/>
    <s v="FL"/>
    <s v="Monopole"/>
    <n v="145"/>
    <n v="2021"/>
    <s v="Tenant C"/>
    <n v="30398.400000000001"/>
    <n v="381"/>
    <s v="Rural"/>
    <s v="OR"/>
    <n v="46520.4"/>
    <n v="875"/>
    <n v="350"/>
    <n v="6300"/>
    <s v="7.384190476190477"/>
    <x v="0"/>
  </r>
  <r>
    <n v="120"/>
    <x v="1"/>
    <x v="2"/>
    <x v="0"/>
    <x v="20"/>
    <x v="1"/>
    <s v="Tenant B"/>
    <n v="37476.6"/>
    <n v="0"/>
    <n v="382"/>
    <n v="315"/>
    <x v="1"/>
    <n v="58"/>
    <s v="Rural"/>
    <s v="OR"/>
    <s v="Monopole"/>
    <n v="140"/>
    <n v="2021"/>
    <s v="Tenant C"/>
    <n v="35496"/>
    <n v="382"/>
    <s v="Rural"/>
    <s v="PA"/>
    <n v="37566"/>
    <n v="875"/>
    <n v="275"/>
    <n v="7200"/>
    <n v="5.2175000000000002"/>
    <x v="0"/>
  </r>
  <r>
    <n v="125"/>
    <x v="0"/>
    <x v="1"/>
    <x v="0"/>
    <x v="4"/>
    <x v="2"/>
    <s v="Tenant B"/>
    <n v="91581.88"/>
    <n v="0"/>
    <n v="383"/>
    <n v="485"/>
    <x v="1"/>
    <n v="58"/>
    <s v="Rural"/>
    <s v="OR"/>
    <s v="Monopole"/>
    <n v="125"/>
    <n v="2022"/>
    <s v="Tenant C"/>
    <n v="37522.5"/>
    <n v="383"/>
    <s v="Suburban"/>
    <s v="TX"/>
    <n v="117771.6"/>
    <n v="950"/>
    <n v="400"/>
    <n v="6600"/>
    <s v="17.844181818181816"/>
    <x v="1"/>
  </r>
  <r>
    <n v="135"/>
    <x v="1"/>
    <x v="4"/>
    <x v="0"/>
    <x v="19"/>
    <x v="2"/>
    <s v="Tenant D"/>
    <n v="42961.32"/>
    <n v="0"/>
    <n v="384"/>
    <n v="98"/>
    <x v="1"/>
    <n v="58"/>
    <s v="Rural"/>
    <s v="AZ"/>
    <s v="SST"/>
    <n v="95"/>
    <n v="2018"/>
    <s v="Tenant C"/>
    <n v="37945.199999999997"/>
    <n v="384"/>
    <s v="Suburban"/>
    <s v="AZ"/>
    <n v="98467.199999999997"/>
    <n v="875"/>
    <n v="300"/>
    <n v="6900"/>
    <s v="14.270608695652172"/>
    <x v="1"/>
  </r>
  <r>
    <n v="139"/>
    <x v="2"/>
    <x v="4"/>
    <x v="0"/>
    <x v="23"/>
    <x v="2"/>
    <s v="Tenant C"/>
    <n v="85658.6"/>
    <n v="0"/>
    <n v="385"/>
    <n v="338"/>
    <x v="1"/>
    <n v="58"/>
    <s v="Rural"/>
    <s v="PA"/>
    <s v="Monopole"/>
    <n v="135"/>
    <n v="2021"/>
    <s v="Tenant D"/>
    <n v="43828.800000000003"/>
    <n v="385"/>
    <s v="Suburban"/>
    <s v="AZ"/>
    <n v="111139.2"/>
    <n v="950"/>
    <n v="300"/>
    <n v="7800"/>
    <s v="14.248615384615384"/>
    <x v="1"/>
  </r>
  <r>
    <n v="143"/>
    <x v="1"/>
    <x v="2"/>
    <x v="1"/>
    <x v="27"/>
    <x v="2"/>
    <s v="Tenant B"/>
    <n v="40195.440000000002"/>
    <n v="0"/>
    <n v="386"/>
    <n v="63"/>
    <x v="1"/>
    <n v="57"/>
    <s v="Rural"/>
    <s v="PA"/>
    <s v="SST"/>
    <n v="150"/>
    <n v="2018"/>
    <s v="Tenant C"/>
    <n v="23647.52"/>
    <n v="386"/>
    <s v="Rural"/>
    <s v="OR"/>
    <s v="32908.799999999996"/>
    <n v="875"/>
    <n v="350"/>
    <n v="6300"/>
    <s v="5.223619047619047"/>
    <x v="0"/>
  </r>
  <r>
    <n v="153"/>
    <x v="1"/>
    <x v="3"/>
    <x v="0"/>
    <x v="26"/>
    <x v="2"/>
    <s v="Tenant C"/>
    <s v="21612.960000000003"/>
    <n v="0"/>
    <n v="387"/>
    <n v="88"/>
    <x v="1"/>
    <n v="57"/>
    <s v="Rural"/>
    <s v="TX"/>
    <s v="Monopole"/>
    <n v="130"/>
    <n v="2018"/>
    <s v="Tenant A"/>
    <n v="28656.66"/>
    <n v="387"/>
    <s v="Rural"/>
    <s v="TX"/>
    <n v="41523.599999999999"/>
    <n v="875"/>
    <n v="150"/>
    <n v="8700"/>
    <s v="4.772827586206897"/>
    <x v="2"/>
  </r>
  <r>
    <n v="174"/>
    <x v="0"/>
    <x v="0"/>
    <x v="1"/>
    <x v="27"/>
    <x v="2"/>
    <s v="Tenant C"/>
    <n v="116846.28"/>
    <n v="0"/>
    <n v="388"/>
    <n v="194"/>
    <x v="1"/>
    <n v="57"/>
    <s v="Rural"/>
    <s v="OR"/>
    <s v="Guyed Tower"/>
    <n v="195"/>
    <n v="2019"/>
    <s v="Tenant A"/>
    <n v="36980.28"/>
    <n v="388"/>
    <s v="Suburban"/>
    <s v="TX"/>
    <n v="113912.4"/>
    <n v="825"/>
    <n v="200"/>
    <n v="7500"/>
    <n v="15.188319999999999"/>
    <x v="1"/>
  </r>
  <r>
    <n v="176"/>
    <x v="0"/>
    <x v="0"/>
    <x v="0"/>
    <x v="2"/>
    <x v="2"/>
    <s v="Tenant C"/>
    <n v="95966.04"/>
    <n v="0"/>
    <n v="389"/>
    <n v="153"/>
    <x v="1"/>
    <n v="56"/>
    <s v="Rural"/>
    <s v="OR"/>
    <s v="SST"/>
    <n v="105"/>
    <n v="2019"/>
    <s v="Tenant C"/>
    <s v="21612.960000000003"/>
    <n v="389"/>
    <s v="Rural"/>
    <s v="PA"/>
    <n v="39584.400000000001"/>
    <n v="825"/>
    <n v="375"/>
    <n v="5400"/>
    <s v="7.330444444444445"/>
    <x v="0"/>
  </r>
  <r>
    <n v="181"/>
    <x v="0"/>
    <x v="3"/>
    <x v="0"/>
    <x v="7"/>
    <x v="2"/>
    <s v="Tenant B"/>
    <n v="109395.18"/>
    <n v="0"/>
    <n v="390"/>
    <n v="94"/>
    <x v="1"/>
    <n v="56"/>
    <s v="Rural"/>
    <s v="OR"/>
    <s v="Monopole"/>
    <n v="180"/>
    <n v="2018"/>
    <s v="Tenant B"/>
    <n v="21810.25"/>
    <n v="390"/>
    <s v="Suburban"/>
    <s v="FL"/>
    <n v="130543.2"/>
    <n v="875"/>
    <n v="375"/>
    <n v="6000"/>
    <n v="21.757200000000001"/>
    <x v="1"/>
  </r>
  <r>
    <n v="183"/>
    <x v="1"/>
    <x v="1"/>
    <x v="1"/>
    <x v="3"/>
    <x v="2"/>
    <s v="Tenant C"/>
    <n v="34563.42"/>
    <n v="0"/>
    <n v="391"/>
    <n v="45"/>
    <x v="1"/>
    <n v="56"/>
    <s v="Rural"/>
    <s v="OR"/>
    <s v="Monopole"/>
    <n v="190"/>
    <n v="2018"/>
    <s v="Tenant A"/>
    <n v="22866"/>
    <n v="391"/>
    <s v="Rural"/>
    <s v="OR"/>
    <n v="29400"/>
    <n v="875"/>
    <n v="325"/>
    <n v="6600"/>
    <s v="4.454545454545454"/>
    <x v="2"/>
  </r>
  <r>
    <n v="185"/>
    <x v="1"/>
    <x v="4"/>
    <x v="0"/>
    <x v="16"/>
    <x v="2"/>
    <s v="Tenant D"/>
    <n v="30366.880000000001"/>
    <n v="0"/>
    <n v="392"/>
    <n v="234"/>
    <x v="1"/>
    <n v="56"/>
    <s v="Rural"/>
    <s v="AZ"/>
    <s v="Monopole"/>
    <n v="90"/>
    <n v="2019"/>
    <s v="Tenant C"/>
    <n v="23569.7"/>
    <n v="392"/>
    <s v="Suburban"/>
    <s v="PA"/>
    <n v="103060.8"/>
    <n v="975"/>
    <n v="400"/>
    <n v="6900"/>
    <s v="14.936347826086957"/>
    <x v="1"/>
  </r>
  <r>
    <n v="186"/>
    <x v="1"/>
    <x v="2"/>
    <x v="1"/>
    <x v="30"/>
    <x v="2"/>
    <s v="Tenant C"/>
    <n v="42161.04"/>
    <n v="0"/>
    <n v="393"/>
    <n v="214"/>
    <x v="1"/>
    <n v="56"/>
    <s v="Rural"/>
    <s v="TX"/>
    <s v="Monopole"/>
    <n v="115"/>
    <n v="2019"/>
    <s v="Tenant C"/>
    <n v="23819.4"/>
    <n v="393"/>
    <s v="Urban"/>
    <s v="OR"/>
    <n v="108532.8"/>
    <n v="825"/>
    <n v="350"/>
    <n v="5700"/>
    <s v="19.04084210526316"/>
    <x v="1"/>
  </r>
  <r>
    <n v="189"/>
    <x v="0"/>
    <x v="1"/>
    <x v="1"/>
    <x v="9"/>
    <x v="2"/>
    <s v="Tenant D"/>
    <n v="112124.68"/>
    <n v="0"/>
    <n v="394"/>
    <n v="141"/>
    <x v="1"/>
    <n v="56"/>
    <s v="Rural"/>
    <s v="PA"/>
    <s v="SST"/>
    <n v="105"/>
    <n v="2019"/>
    <s v="Tenant D"/>
    <s v="24252.800000000003"/>
    <n v="394"/>
    <s v="Rural"/>
    <s v="PA"/>
    <n v="27364.799999999999"/>
    <n v="975"/>
    <n v="325"/>
    <n v="7800"/>
    <s v="3.5083076923076923"/>
    <x v="2"/>
  </r>
  <r>
    <n v="193"/>
    <x v="1"/>
    <x v="2"/>
    <x v="0"/>
    <x v="23"/>
    <x v="2"/>
    <s v="Tenant C"/>
    <n v="29115.02"/>
    <n v="0"/>
    <n v="395"/>
    <n v="256"/>
    <x v="1"/>
    <n v="56"/>
    <s v="Rural"/>
    <s v="PA"/>
    <s v="SST"/>
    <n v="115"/>
    <n v="2020"/>
    <s v="Tenant B"/>
    <n v="30325"/>
    <n v="395"/>
    <s v="Rural"/>
    <s v="OR"/>
    <n v="45291.6"/>
    <n v="975"/>
    <n v="350"/>
    <n v="7500"/>
    <n v="6.0388799999999998"/>
    <x v="0"/>
  </r>
  <r>
    <n v="196"/>
    <x v="2"/>
    <x v="1"/>
    <x v="2"/>
    <x v="4"/>
    <x v="2"/>
    <s v="Tenant C"/>
    <n v="106497.14"/>
    <n v="0"/>
    <n v="396"/>
    <n v="132"/>
    <x v="1"/>
    <n v="56"/>
    <s v="Rural"/>
    <s v="OR"/>
    <s v="SST"/>
    <n v="115"/>
    <n v="2019"/>
    <s v="Tenant A"/>
    <n v="31024.080000000002"/>
    <n v="396"/>
    <s v="Rural"/>
    <s v="TX"/>
    <n v="27524.400000000001"/>
    <n v="950"/>
    <n v="200"/>
    <n v="9000"/>
    <s v="3.0582666666666665"/>
    <x v="2"/>
  </r>
  <r>
    <n v="197"/>
    <x v="0"/>
    <x v="1"/>
    <x v="0"/>
    <x v="13"/>
    <x v="2"/>
    <s v="Tenant B"/>
    <n v="115262.28"/>
    <n v="0"/>
    <n v="397"/>
    <n v="414"/>
    <x v="1"/>
    <n v="56"/>
    <s v="Rural"/>
    <s v="PA"/>
    <s v="Guyed Tower"/>
    <n v="150"/>
    <n v="2022"/>
    <s v="Tenant A"/>
    <n v="33428.94"/>
    <n v="397"/>
    <s v="Rural"/>
    <s v="AZ"/>
    <n v="27312"/>
    <n v="975"/>
    <n v="175"/>
    <n v="9600"/>
    <n v="2.8450000000000002"/>
    <x v="2"/>
  </r>
  <r>
    <n v="215"/>
    <x v="0"/>
    <x v="0"/>
    <x v="1"/>
    <x v="29"/>
    <x v="2"/>
    <s v="Tenant A"/>
    <n v="103862.52"/>
    <n v="0"/>
    <n v="398"/>
    <n v="498"/>
    <x v="1"/>
    <n v="56"/>
    <s v="Rural"/>
    <s v="PA"/>
    <s v="Guyed Tower"/>
    <n v="140"/>
    <n v="2022"/>
    <s v="Tenant A"/>
    <n v="35860"/>
    <n v="398"/>
    <s v="Suburban"/>
    <s v="OR"/>
    <n v="108384"/>
    <n v="975"/>
    <n v="325"/>
    <n v="7800"/>
    <s v="13.895384615384616"/>
    <x v="1"/>
  </r>
  <r>
    <n v="223"/>
    <x v="1"/>
    <x v="0"/>
    <x v="1"/>
    <x v="10"/>
    <x v="2"/>
    <s v="Tenant A"/>
    <n v="22600.6"/>
    <n v="0"/>
    <n v="399"/>
    <n v="128"/>
    <x v="1"/>
    <n v="56"/>
    <s v="Rural"/>
    <s v="FL"/>
    <s v="SST"/>
    <n v="115"/>
    <n v="2019"/>
    <s v="Tenant D"/>
    <s v="36090.880000000005"/>
    <n v="399"/>
    <s v="Rural"/>
    <s v="TX"/>
    <n v="25496.400000000001"/>
    <n v="950"/>
    <n v="200"/>
    <n v="9000"/>
    <s v="2.832933333333333"/>
    <x v="2"/>
  </r>
  <r>
    <n v="239"/>
    <x v="2"/>
    <x v="1"/>
    <x v="0"/>
    <x v="16"/>
    <x v="2"/>
    <s v="Tenant D"/>
    <n v="90693"/>
    <n v="0"/>
    <n v="400"/>
    <n v="191"/>
    <x v="1"/>
    <n v="56"/>
    <s v="Rural"/>
    <s v="PA"/>
    <s v="SST"/>
    <n v="110"/>
    <n v="2019"/>
    <s v="Tenant C"/>
    <n v="37345.32"/>
    <n v="400"/>
    <s v="Suburban"/>
    <s v="PA"/>
    <n v="104485.2"/>
    <n v="950"/>
    <n v="300"/>
    <n v="7800"/>
    <s v="13.39553846153846"/>
    <x v="1"/>
  </r>
  <r>
    <n v="248"/>
    <x v="1"/>
    <x v="3"/>
    <x v="1"/>
    <x v="27"/>
    <x v="2"/>
    <s v="Tenant C"/>
    <n v="38049.480000000003"/>
    <n v="0"/>
    <n v="401"/>
    <n v="121"/>
    <x v="1"/>
    <n v="56"/>
    <s v="Rural"/>
    <s v="PA"/>
    <s v="SST"/>
    <n v="115"/>
    <n v="2019"/>
    <s v="Tenant D"/>
    <n v="37370.300000000003"/>
    <n v="401"/>
    <s v="Rural"/>
    <s v="OR"/>
    <n v="26030.400000000001"/>
    <n v="825"/>
    <n v="350"/>
    <n v="5700"/>
    <s v="4.5667368421052625"/>
    <x v="2"/>
  </r>
  <r>
    <n v="254"/>
    <x v="1"/>
    <x v="4"/>
    <x v="0"/>
    <x v="26"/>
    <x v="2"/>
    <s v="Tenant A"/>
    <n v="29835.82"/>
    <n v="0"/>
    <n v="402"/>
    <n v="68"/>
    <x v="1"/>
    <n v="56"/>
    <s v="Rural"/>
    <s v="PA"/>
    <s v="Monopole"/>
    <n v="195"/>
    <n v="2018"/>
    <s v="Tenant D"/>
    <n v="37968.32"/>
    <n v="402"/>
    <s v="Rural"/>
    <s v="OR"/>
    <n v="33697.199999999997"/>
    <n v="825"/>
    <n v="325"/>
    <n v="6000"/>
    <s v="5.616199999999999"/>
    <x v="0"/>
  </r>
  <r>
    <n v="256"/>
    <x v="1"/>
    <x v="2"/>
    <x v="0"/>
    <x v="11"/>
    <x v="3"/>
    <s v="Tenant B"/>
    <n v="30325"/>
    <n v="0"/>
    <n v="403"/>
    <n v="353"/>
    <x v="1"/>
    <n v="56"/>
    <s v="Rural"/>
    <s v="OR"/>
    <s v="Guyed Tower"/>
    <n v="140"/>
    <n v="2021"/>
    <s v="Tenant A"/>
    <n v="38110.800000000003"/>
    <n v="403"/>
    <s v="Urban"/>
    <s v="AZ"/>
    <n v="104416.8"/>
    <n v="950"/>
    <n v="375"/>
    <n v="6900"/>
    <s v="15.132869565217392"/>
    <x v="1"/>
  </r>
  <r>
    <n v="268"/>
    <x v="0"/>
    <x v="2"/>
    <x v="0"/>
    <x v="21"/>
    <x v="3"/>
    <s v="Tenant A"/>
    <n v="115236.25"/>
    <n v="0"/>
    <n v="404"/>
    <n v="267"/>
    <x v="1"/>
    <n v="56"/>
    <s v="Rural"/>
    <s v="OR"/>
    <s v="SST"/>
    <n v="110"/>
    <n v="2020"/>
    <s v="Tenant C"/>
    <n v="38785"/>
    <n v="404"/>
    <s v="Rural"/>
    <s v="OR"/>
    <n v="24715.200000000001"/>
    <n v="975"/>
    <n v="350"/>
    <n v="7500"/>
    <n v="3.2953600000000001"/>
    <x v="2"/>
  </r>
  <r>
    <n v="274"/>
    <x v="0"/>
    <x v="0"/>
    <x v="0"/>
    <x v="26"/>
    <x v="3"/>
    <s v="Tenant C"/>
    <n v="104562.5"/>
    <n v="0"/>
    <n v="405"/>
    <n v="90"/>
    <x v="1"/>
    <n v="56"/>
    <s v="Rural"/>
    <s v="FL"/>
    <s v="Monopole"/>
    <n v="195"/>
    <n v="2018"/>
    <s v="Tenant A"/>
    <n v="40276.089999999997"/>
    <n v="405"/>
    <s v="Urban"/>
    <s v="TX"/>
    <n v="129996.24"/>
    <n v="875"/>
    <n v="350"/>
    <n v="6300"/>
    <s v="20.63432380952381"/>
    <x v="1"/>
  </r>
  <r>
    <n v="291"/>
    <x v="2"/>
    <x v="1"/>
    <x v="0"/>
    <x v="4"/>
    <x v="4"/>
    <s v="Tenant D"/>
    <n v="129960"/>
    <n v="0"/>
    <n v="406"/>
    <n v="222"/>
    <x v="1"/>
    <n v="56"/>
    <s v="Rural"/>
    <s v="TX"/>
    <s v="Monopole"/>
    <n v="110"/>
    <n v="2019"/>
    <s v="Tenant D"/>
    <s v="41977.060000000005"/>
    <n v="406"/>
    <s v="Suburban"/>
    <s v="OR"/>
    <n v="124720.77"/>
    <n v="950"/>
    <n v="325"/>
    <n v="7500"/>
    <s v="16.629436000000002"/>
    <x v="1"/>
  </r>
  <r>
    <n v="320"/>
    <x v="0"/>
    <x v="0"/>
    <x v="1"/>
    <x v="14"/>
    <x v="4"/>
    <s v="Tenant A"/>
    <n v="102979.2"/>
    <n v="0"/>
    <n v="407"/>
    <n v="378"/>
    <x v="1"/>
    <n v="56"/>
    <s v="Rural"/>
    <s v="FL"/>
    <s v="Guyed Tower"/>
    <n v="135"/>
    <n v="2021"/>
    <s v="Tenant D"/>
    <n v="42788.4"/>
    <n v="407"/>
    <s v="Suburban"/>
    <s v="OR"/>
    <n v="119570.76"/>
    <n v="875"/>
    <n v="350"/>
    <n v="6300"/>
    <s v="18.979485714285712"/>
    <x v="1"/>
  </r>
  <r>
    <n v="341"/>
    <x v="0"/>
    <x v="1"/>
    <x v="0"/>
    <x v="22"/>
    <x v="4"/>
    <s v="Tenant D"/>
    <n v="120495.6"/>
    <n v="0"/>
    <n v="408"/>
    <n v="149"/>
    <x v="1"/>
    <n v="56"/>
    <s v="Suburban"/>
    <s v="TX"/>
    <s v="Stealth - Flagpole"/>
    <n v="95"/>
    <n v="2019"/>
    <s v="Tenant A"/>
    <n v="104741.64"/>
    <n v="408"/>
    <s v="Suburban"/>
    <s v="FL"/>
    <n v="101814.48"/>
    <n v="825"/>
    <n v="200"/>
    <n v="7500"/>
    <n v="13.575264000000001"/>
    <x v="1"/>
  </r>
  <r>
    <n v="344"/>
    <x v="1"/>
    <x v="3"/>
    <x v="0"/>
    <x v="30"/>
    <x v="4"/>
    <s v="Tenant A"/>
    <n v="35658"/>
    <n v="0"/>
    <n v="409"/>
    <n v="159"/>
    <x v="1"/>
    <n v="55"/>
    <s v="Rural"/>
    <s v="PA"/>
    <s v="Monopole"/>
    <n v="140"/>
    <n v="2019"/>
    <s v="Tenant D"/>
    <s v="25215.300000000003"/>
    <n v="409"/>
    <s v="Rural"/>
    <s v="PA"/>
    <n v="37256.699999999997"/>
    <n v="825"/>
    <n v="300"/>
    <n v="6300"/>
    <s v="5.9137619047619046"/>
    <x v="0"/>
  </r>
  <r>
    <n v="348"/>
    <x v="0"/>
    <x v="1"/>
    <x v="1"/>
    <x v="0"/>
    <x v="4"/>
    <s v="Tenant C"/>
    <n v="123667.2"/>
    <n v="0"/>
    <n v="410"/>
    <n v="198"/>
    <x v="1"/>
    <n v="55"/>
    <s v="Rural"/>
    <s v="PA"/>
    <s v="Monopole"/>
    <n v="135"/>
    <n v="2019"/>
    <s v="Tenant C"/>
    <s v="26142.480000000003"/>
    <n v="410"/>
    <s v="Suburban"/>
    <s v="PA"/>
    <n v="126424.32000000001"/>
    <n v="950"/>
    <n v="250"/>
    <n v="8400"/>
    <s v="15.050514285714284"/>
    <x v="1"/>
  </r>
  <r>
    <n v="372"/>
    <x v="2"/>
    <x v="1"/>
    <x v="3"/>
    <x v="19"/>
    <x v="4"/>
    <s v="Tenant A"/>
    <n v="112762.8"/>
    <n v="0"/>
    <n v="411"/>
    <n v="203"/>
    <x v="1"/>
    <n v="55"/>
    <s v="Rural"/>
    <s v="OR"/>
    <s v="Monopole"/>
    <n v="140"/>
    <n v="2019"/>
    <s v="Tenant B"/>
    <n v="35824.68"/>
    <n v="411"/>
    <s v="Suburban"/>
    <s v="FL"/>
    <n v="121230.03"/>
    <n v="875"/>
    <n v="400"/>
    <n v="5700"/>
    <s v="21.268426315789473"/>
    <x v="1"/>
  </r>
  <r>
    <n v="378"/>
    <x v="1"/>
    <x v="1"/>
    <x v="3"/>
    <x v="9"/>
    <x v="4"/>
    <s v="Tenant D"/>
    <n v="42788.4"/>
    <n v="0"/>
    <n v="412"/>
    <n v="186"/>
    <x v="1"/>
    <n v="55"/>
    <s v="Rural"/>
    <s v="PA"/>
    <s v="Monopole"/>
    <n v="130"/>
    <n v="2019"/>
    <s v="Tenant C"/>
    <n v="42161.04"/>
    <n v="412"/>
    <s v="Rural"/>
    <s v="TX"/>
    <n v="37924.589999999997"/>
    <n v="875"/>
    <n v="350"/>
    <n v="6300"/>
    <n v="6.0197761904761897"/>
    <x v="0"/>
  </r>
  <r>
    <n v="383"/>
    <x v="0"/>
    <x v="4"/>
    <x v="1"/>
    <x v="28"/>
    <x v="4"/>
    <s v="Tenant A"/>
    <n v="117771.6"/>
    <n v="0"/>
    <n v="413"/>
    <n v="273"/>
    <x v="1"/>
    <n v="55"/>
    <s v="Rural"/>
    <s v="FL"/>
    <s v="Monopole"/>
    <n v="140"/>
    <n v="2020"/>
    <s v="Tenant D"/>
    <n v="43681.25"/>
    <n v="413"/>
    <s v="Rural"/>
    <s v="PA"/>
    <n v="28665.15"/>
    <n v="825"/>
    <m/>
    <n v="9900"/>
    <s v="2.895469696969697"/>
    <x v="2"/>
  </r>
  <r>
    <n v="391"/>
    <x v="1"/>
    <x v="3"/>
    <x v="1"/>
    <x v="1"/>
    <x v="4"/>
    <s v="Tenant B"/>
    <n v="29400"/>
    <n v="0"/>
    <n v="414"/>
    <n v="417"/>
    <x v="1"/>
    <n v="54"/>
    <s v="Rural"/>
    <s v="OR"/>
    <s v="Monopole"/>
    <n v="90"/>
    <n v="2022"/>
    <s v="Tenant A"/>
    <n v="31079.64"/>
    <n v="414"/>
    <s v="Rural"/>
    <s v="PA"/>
    <n v="33428.94"/>
    <n v="950"/>
    <n v="350"/>
    <n v="7200"/>
    <s v="4.642908333333334"/>
    <x v="2"/>
  </r>
  <r>
    <n v="406"/>
    <x v="0"/>
    <x v="3"/>
    <x v="0"/>
    <x v="3"/>
    <x v="5"/>
    <s v="Tenant A"/>
    <n v="124720.77"/>
    <n v="0"/>
    <n v="415"/>
    <n v="95"/>
    <x v="1"/>
    <n v="54"/>
    <s v="Rural"/>
    <s v="PA"/>
    <s v="Guyed Tower"/>
    <n v="175"/>
    <n v="2018"/>
    <s v="Tenant C"/>
    <s v="31161.620000000003"/>
    <n v="415"/>
    <s v="Suburban"/>
    <s v="PA"/>
    <n v="103264.65"/>
    <n v="875"/>
    <n v="450"/>
    <n v="5100"/>
    <s v="20.247970588235297"/>
    <x v="1"/>
  </r>
  <r>
    <n v="428"/>
    <x v="1"/>
    <x v="1"/>
    <x v="0"/>
    <x v="3"/>
    <x v="5"/>
    <s v="Tenant D"/>
    <n v="41653.949999999997"/>
    <n v="0"/>
    <n v="416"/>
    <n v="443"/>
    <x v="1"/>
    <n v="54"/>
    <s v="Rural"/>
    <s v="PA"/>
    <s v="Monopole"/>
    <n v="95"/>
    <n v="2022"/>
    <s v="Tenant C"/>
    <n v="32262.9"/>
    <n v="416"/>
    <s v="Rural"/>
    <s v="AZ"/>
    <n v="42002.04"/>
    <n v="875"/>
    <n v="150"/>
    <n v="8700"/>
    <s v="4.827820689655172"/>
    <x v="2"/>
  </r>
  <r>
    <n v="440"/>
    <x v="0"/>
    <x v="2"/>
    <x v="1"/>
    <x v="14"/>
    <x v="5"/>
    <s v="Tenant B"/>
    <n v="129393.54"/>
    <n v="0"/>
    <n v="417"/>
    <n v="474"/>
    <x v="1"/>
    <n v="54"/>
    <s v="Rural"/>
    <s v="PA"/>
    <s v="Monopole"/>
    <n v="95"/>
    <n v="2022"/>
    <s v="Tenant D"/>
    <n v="34130"/>
    <n v="417"/>
    <s v="Rural"/>
    <s v="OR"/>
    <n v="31079.64"/>
    <n v="950"/>
    <n v="200"/>
    <n v="9000"/>
    <s v="3.4532933333333333"/>
    <x v="2"/>
  </r>
  <r>
    <n v="445"/>
    <x v="1"/>
    <x v="4"/>
    <x v="0"/>
    <x v="2"/>
    <x v="5"/>
    <s v="Tenant C"/>
    <n v="32845.919999999998"/>
    <n v="0"/>
    <n v="418"/>
    <n v="432"/>
    <x v="1"/>
    <n v="54"/>
    <s v="Rural"/>
    <s v="FL"/>
    <s v="Monopole"/>
    <n v="110"/>
    <n v="2022"/>
    <s v="Tenant D"/>
    <n v="41217.300000000003"/>
    <n v="418"/>
    <s v="Rural"/>
    <s v="FL"/>
    <n v="31531.05"/>
    <n v="825"/>
    <n v="200"/>
    <n v="7500"/>
    <n v="4.2041399999999998"/>
    <x v="2"/>
  </r>
  <r>
    <n v="453"/>
    <x v="0"/>
    <x v="1"/>
    <x v="0"/>
    <x v="9"/>
    <x v="5"/>
    <s v="Tenant A"/>
    <n v="110011.2"/>
    <n v="0"/>
    <n v="419"/>
    <n v="92"/>
    <x v="1"/>
    <n v="53"/>
    <s v="Rural"/>
    <s v="AZ"/>
    <s v="Monopole"/>
    <n v="105"/>
    <n v="2018"/>
    <s v="Tenant C"/>
    <n v="26047.67"/>
    <n v="419"/>
    <s v="Rural"/>
    <s v="TX"/>
    <n v="31114.080000000002"/>
    <n v="825"/>
    <n v="225"/>
    <n v="7200"/>
    <n v="4.3213999999999997"/>
    <x v="2"/>
  </r>
  <r>
    <n v="456"/>
    <x v="0"/>
    <x v="4"/>
    <x v="1"/>
    <x v="12"/>
    <x v="5"/>
    <s v="Tenant B"/>
    <n v="108028.44"/>
    <n v="0"/>
    <n v="420"/>
    <n v="120"/>
    <x v="1"/>
    <n v="53"/>
    <s v="Rural"/>
    <s v="PA"/>
    <s v="SST"/>
    <n v="100"/>
    <n v="2018"/>
    <s v="Tenant B"/>
    <n v="37476.6"/>
    <n v="420"/>
    <s v="Rural"/>
    <s v="TX"/>
    <n v="37131.24"/>
    <n v="950"/>
    <n v="350"/>
    <n v="7200"/>
    <s v="5.157116666666666"/>
    <x v="0"/>
  </r>
  <r>
    <n v="462"/>
    <x v="1"/>
    <x v="2"/>
    <x v="0"/>
    <x v="12"/>
    <x v="5"/>
    <s v="Tenant A"/>
    <n v="38717.5"/>
    <n v="0"/>
    <n v="421"/>
    <n v="240"/>
    <x v="1"/>
    <n v="51"/>
    <s v="Rural"/>
    <s v="OR"/>
    <s v="Monopole"/>
    <n v="110"/>
    <n v="2019"/>
    <s v="Tenant A"/>
    <n v="35835.42"/>
    <n v="421"/>
    <s v="Urban"/>
    <s v="FL"/>
    <n v="118322.31"/>
    <n v="825"/>
    <n v="700"/>
    <n v="1500"/>
    <n v="78.881540000000001"/>
    <x v="1"/>
  </r>
  <r>
    <n v="476"/>
    <x v="0"/>
    <x v="1"/>
    <x v="1"/>
    <x v="12"/>
    <x v="5"/>
    <s v="Tenant B"/>
    <n v="129618.75"/>
    <n v="0"/>
    <n v="422"/>
    <n v="103"/>
    <x v="1"/>
    <n v="48"/>
    <s v="Rural"/>
    <s v="OR"/>
    <s v="Monopole"/>
    <n v="95"/>
    <n v="2018"/>
    <s v="Tenant A"/>
    <n v="27925.360000000001"/>
    <n v="422"/>
    <s v="Suburban"/>
    <s v="PA"/>
    <n v="109419.57"/>
    <n v="975"/>
    <n v="150"/>
    <n v="9900"/>
    <s v="11.052481818181818"/>
    <x v="1"/>
  </r>
  <r>
    <n v="479"/>
    <x v="0"/>
    <x v="4"/>
    <x v="0"/>
    <x v="11"/>
    <x v="5"/>
    <s v="Tenant A"/>
    <n v="120790"/>
    <n v="0"/>
    <n v="423"/>
    <n v="89"/>
    <x v="1"/>
    <n v="48"/>
    <s v="Rural"/>
    <s v="OR"/>
    <s v="Monopole"/>
    <n v="95"/>
    <n v="2018"/>
    <s v="Tenant B"/>
    <n v="38249.4"/>
    <n v="423"/>
    <s v="Suburban"/>
    <s v="FL"/>
    <n v="125300.1"/>
    <n v="975"/>
    <n v="150"/>
    <n v="9900"/>
    <s v="12.656575757575755"/>
    <x v="1"/>
  </r>
  <r>
    <n v="496"/>
    <x v="0"/>
    <x v="4"/>
    <x v="0"/>
    <x v="21"/>
    <x v="5"/>
    <s v="Tenant A"/>
    <n v="105875"/>
    <n v="0"/>
    <n v="424"/>
    <n v="484"/>
    <x v="1"/>
    <n v="39"/>
    <s v="Rural"/>
    <s v="OR"/>
    <s v="Stealth - Monopine"/>
    <n v="100"/>
    <n v="2022"/>
    <s v="Tenant A"/>
    <n v="112375"/>
    <n v="424"/>
    <s v="Rural"/>
    <s v="FL"/>
    <n v="34626.959999999999"/>
    <n v="950"/>
    <n v="350"/>
    <n v="7200"/>
    <s v="4.8092999999999995"/>
    <x v="2"/>
  </r>
  <r>
    <m/>
    <x v="3"/>
    <x v="5"/>
    <x v="5"/>
    <x v="32"/>
    <x v="6"/>
    <m/>
    <m/>
    <m/>
    <m/>
    <m/>
    <x v="2"/>
    <m/>
    <m/>
    <m/>
    <m/>
    <m/>
    <m/>
    <m/>
    <m/>
    <n v="425"/>
    <s v="Urban"/>
    <s v="FL"/>
    <n v="123644.52"/>
    <n v="950"/>
    <n v="350"/>
    <n v="7200"/>
    <n v="17.17285"/>
    <x v="1"/>
  </r>
  <r>
    <m/>
    <x v="3"/>
    <x v="5"/>
    <x v="5"/>
    <x v="32"/>
    <x v="6"/>
    <m/>
    <m/>
    <m/>
    <m/>
    <m/>
    <x v="2"/>
    <m/>
    <m/>
    <m/>
    <m/>
    <m/>
    <m/>
    <m/>
    <m/>
    <n v="426"/>
    <s v="Urban"/>
    <s v="PA"/>
    <n v="124918.8"/>
    <n v="875"/>
    <n v="700"/>
    <n v="2100"/>
    <s v="59.48514285714286"/>
    <x v="1"/>
  </r>
  <r>
    <m/>
    <x v="3"/>
    <x v="5"/>
    <x v="5"/>
    <x v="32"/>
    <x v="6"/>
    <m/>
    <m/>
    <m/>
    <m/>
    <m/>
    <x v="2"/>
    <m/>
    <m/>
    <m/>
    <m/>
    <m/>
    <m/>
    <m/>
    <m/>
    <n v="427"/>
    <s v="Rural"/>
    <s v="TX"/>
    <n v="29895.15"/>
    <n v="950"/>
    <n v="275"/>
    <n v="8100"/>
    <s v="3.690759259259259"/>
    <x v="2"/>
  </r>
  <r>
    <m/>
    <x v="3"/>
    <x v="5"/>
    <x v="5"/>
    <x v="32"/>
    <x v="6"/>
    <m/>
    <m/>
    <m/>
    <m/>
    <m/>
    <x v="2"/>
    <m/>
    <m/>
    <m/>
    <m/>
    <m/>
    <m/>
    <m/>
    <m/>
    <n v="428"/>
    <s v="Rural"/>
    <s v="FL"/>
    <n v="41653.949999999997"/>
    <n v="825"/>
    <n v="225"/>
    <n v="7200"/>
    <s v="5.785270833333333"/>
    <x v="0"/>
  </r>
  <r>
    <m/>
    <x v="3"/>
    <x v="5"/>
    <x v="5"/>
    <x v="32"/>
    <x v="6"/>
    <m/>
    <m/>
    <m/>
    <m/>
    <m/>
    <x v="2"/>
    <m/>
    <m/>
    <m/>
    <m/>
    <m/>
    <m/>
    <m/>
    <m/>
    <n v="429"/>
    <s v="Rural"/>
    <s v="TX"/>
    <n v="47533.35"/>
    <n v="875"/>
    <n v="325"/>
    <n v="6600"/>
    <s v="7.202022727272727"/>
    <x v="0"/>
  </r>
  <r>
    <m/>
    <x v="3"/>
    <x v="5"/>
    <x v="5"/>
    <x v="32"/>
    <x v="6"/>
    <m/>
    <m/>
    <m/>
    <m/>
    <m/>
    <x v="2"/>
    <m/>
    <m/>
    <m/>
    <m/>
    <m/>
    <m/>
    <m/>
    <m/>
    <n v="430"/>
    <s v="Rural"/>
    <s v="TX"/>
    <n v="43512.480000000003"/>
    <n v="950"/>
    <n v="200"/>
    <n v="9000"/>
    <n v="4.8347199999999999"/>
    <x v="2"/>
  </r>
  <r>
    <m/>
    <x v="3"/>
    <x v="5"/>
    <x v="5"/>
    <x v="32"/>
    <x v="6"/>
    <m/>
    <m/>
    <m/>
    <m/>
    <m/>
    <x v="2"/>
    <m/>
    <m/>
    <m/>
    <m/>
    <m/>
    <m/>
    <m/>
    <m/>
    <n v="431"/>
    <s v="Rural"/>
    <s v="OR"/>
    <n v="27138.720000000001"/>
    <n v="875"/>
    <n v="300"/>
    <n v="6900"/>
    <s v="3.933147826086957"/>
    <x v="2"/>
  </r>
  <r>
    <m/>
    <x v="3"/>
    <x v="5"/>
    <x v="5"/>
    <x v="32"/>
    <x v="6"/>
    <m/>
    <m/>
    <m/>
    <m/>
    <m/>
    <x v="2"/>
    <m/>
    <m/>
    <m/>
    <m/>
    <m/>
    <m/>
    <m/>
    <m/>
    <n v="432"/>
    <s v="Rural"/>
    <s v="FL"/>
    <n v="41217.300000000003"/>
    <n v="825"/>
    <n v="275"/>
    <n v="6600"/>
    <s v="6.245045454545455"/>
    <x v="0"/>
  </r>
  <r>
    <m/>
    <x v="3"/>
    <x v="5"/>
    <x v="5"/>
    <x v="32"/>
    <x v="6"/>
    <m/>
    <m/>
    <m/>
    <m/>
    <m/>
    <x v="2"/>
    <m/>
    <m/>
    <m/>
    <m/>
    <m/>
    <m/>
    <m/>
    <m/>
    <n v="433"/>
    <s v="Suburban"/>
    <s v="OR"/>
    <n v="110696.31"/>
    <n v="875"/>
    <n v="325"/>
    <n v="6600"/>
    <s v="16.77216818181818"/>
    <x v="1"/>
  </r>
  <r>
    <m/>
    <x v="3"/>
    <x v="5"/>
    <x v="5"/>
    <x v="32"/>
    <x v="6"/>
    <m/>
    <m/>
    <m/>
    <m/>
    <m/>
    <x v="2"/>
    <m/>
    <m/>
    <m/>
    <m/>
    <m/>
    <m/>
    <m/>
    <m/>
    <n v="434"/>
    <s v="Suburban"/>
    <s v="FL"/>
    <n v="104253.57"/>
    <n v="950"/>
    <n v="375"/>
    <n v="6900"/>
    <s v="15.10921304347826"/>
    <x v="1"/>
  </r>
  <r>
    <m/>
    <x v="3"/>
    <x v="5"/>
    <x v="5"/>
    <x v="32"/>
    <x v="6"/>
    <m/>
    <m/>
    <m/>
    <m/>
    <m/>
    <x v="2"/>
    <m/>
    <m/>
    <m/>
    <m/>
    <m/>
    <m/>
    <m/>
    <m/>
    <n v="435"/>
    <s v="Suburban"/>
    <s v="PA"/>
    <n v="121287.84"/>
    <n v="975"/>
    <n v="275"/>
    <n v="8400"/>
    <s v="14.43902857142857"/>
    <x v="1"/>
  </r>
  <r>
    <m/>
    <x v="3"/>
    <x v="5"/>
    <x v="5"/>
    <x v="32"/>
    <x v="6"/>
    <m/>
    <m/>
    <m/>
    <m/>
    <m/>
    <x v="2"/>
    <m/>
    <m/>
    <m/>
    <m/>
    <m/>
    <m/>
    <m/>
    <m/>
    <n v="436"/>
    <s v="Suburban"/>
    <s v="AZ"/>
    <n v="116604"/>
    <n v="975"/>
    <n v="325"/>
    <n v="7800"/>
    <s v="14.94923076923077"/>
    <x v="1"/>
  </r>
  <r>
    <m/>
    <x v="3"/>
    <x v="5"/>
    <x v="5"/>
    <x v="32"/>
    <x v="6"/>
    <m/>
    <m/>
    <m/>
    <m/>
    <m/>
    <x v="2"/>
    <m/>
    <m/>
    <m/>
    <m/>
    <m/>
    <m/>
    <m/>
    <m/>
    <n v="437"/>
    <s v="Rural"/>
    <s v="FL"/>
    <n v="38195.19"/>
    <n v="950"/>
    <n v="300"/>
    <n v="7800"/>
    <s v="4.896819230769231"/>
    <x v="2"/>
  </r>
  <r>
    <m/>
    <x v="3"/>
    <x v="5"/>
    <x v="5"/>
    <x v="32"/>
    <x v="6"/>
    <m/>
    <m/>
    <m/>
    <m/>
    <m/>
    <x v="2"/>
    <m/>
    <m/>
    <m/>
    <m/>
    <m/>
    <m/>
    <m/>
    <m/>
    <n v="438"/>
    <s v="Suburban"/>
    <s v="FL"/>
    <n v="108171.12"/>
    <n v="875"/>
    <n v="250"/>
    <n v="7500"/>
    <n v="14.422815999999999"/>
    <x v="1"/>
  </r>
  <r>
    <m/>
    <x v="3"/>
    <x v="5"/>
    <x v="5"/>
    <x v="32"/>
    <x v="6"/>
    <m/>
    <m/>
    <m/>
    <m/>
    <m/>
    <x v="2"/>
    <m/>
    <m/>
    <m/>
    <m/>
    <m/>
    <m/>
    <m/>
    <m/>
    <n v="439"/>
    <s v="Suburban"/>
    <s v="OR"/>
    <n v="120269.4"/>
    <n v="825"/>
    <n v="275"/>
    <n v="6600"/>
    <s v="18.22263636363636"/>
    <x v="1"/>
  </r>
  <r>
    <m/>
    <x v="3"/>
    <x v="5"/>
    <x v="5"/>
    <x v="32"/>
    <x v="6"/>
    <m/>
    <m/>
    <m/>
    <m/>
    <m/>
    <x v="2"/>
    <m/>
    <m/>
    <m/>
    <m/>
    <m/>
    <m/>
    <m/>
    <m/>
    <n v="440"/>
    <s v="Suburban"/>
    <s v="PA"/>
    <n v="129393.54"/>
    <n v="875"/>
    <m/>
    <n v="10500"/>
    <s v="12.323194285714283"/>
    <x v="1"/>
  </r>
  <r>
    <m/>
    <x v="3"/>
    <x v="5"/>
    <x v="5"/>
    <x v="32"/>
    <x v="6"/>
    <m/>
    <m/>
    <m/>
    <m/>
    <m/>
    <x v="2"/>
    <m/>
    <m/>
    <m/>
    <m/>
    <m/>
    <m/>
    <m/>
    <m/>
    <n v="441"/>
    <s v="Rural"/>
    <s v="PA"/>
    <n v="46593.63"/>
    <n v="825"/>
    <n v="175"/>
    <n v="7800"/>
    <s v="5.973542307692307"/>
    <x v="0"/>
  </r>
  <r>
    <m/>
    <x v="3"/>
    <x v="5"/>
    <x v="5"/>
    <x v="32"/>
    <x v="6"/>
    <m/>
    <m/>
    <m/>
    <m/>
    <m/>
    <x v="2"/>
    <m/>
    <m/>
    <m/>
    <m/>
    <m/>
    <m/>
    <m/>
    <m/>
    <n v="442"/>
    <s v="Rural"/>
    <s v="AZ"/>
    <n v="38244.39"/>
    <n v="975"/>
    <n v="250"/>
    <n v="8700"/>
    <s v="4.3959068965517245"/>
    <x v="2"/>
  </r>
  <r>
    <m/>
    <x v="3"/>
    <x v="5"/>
    <x v="5"/>
    <x v="32"/>
    <x v="6"/>
    <m/>
    <m/>
    <m/>
    <m/>
    <m/>
    <x v="2"/>
    <m/>
    <m/>
    <m/>
    <m/>
    <m/>
    <m/>
    <m/>
    <m/>
    <n v="443"/>
    <s v="Rural"/>
    <s v="PA"/>
    <n v="32262.9"/>
    <n v="975"/>
    <n v="225"/>
    <n v="9000"/>
    <s v="3.5847666666666664"/>
    <x v="2"/>
  </r>
  <r>
    <m/>
    <x v="3"/>
    <x v="5"/>
    <x v="5"/>
    <x v="32"/>
    <x v="6"/>
    <m/>
    <m/>
    <m/>
    <m/>
    <m/>
    <x v="2"/>
    <m/>
    <m/>
    <m/>
    <m/>
    <m/>
    <m/>
    <m/>
    <m/>
    <n v="444"/>
    <s v="Rural"/>
    <s v="AZ"/>
    <n v="47862.99"/>
    <n v="950"/>
    <n v="375"/>
    <n v="6900"/>
    <s v="6.936665217391304"/>
    <x v="0"/>
  </r>
  <r>
    <m/>
    <x v="3"/>
    <x v="5"/>
    <x v="5"/>
    <x v="32"/>
    <x v="6"/>
    <m/>
    <m/>
    <m/>
    <m/>
    <m/>
    <x v="2"/>
    <m/>
    <m/>
    <m/>
    <m/>
    <m/>
    <m/>
    <m/>
    <m/>
    <n v="445"/>
    <s v="Rural"/>
    <s v="TX"/>
    <n v="32845.919999999998"/>
    <n v="975"/>
    <n v="175"/>
    <n v="9600"/>
    <s v="3.4214499999999997"/>
    <x v="2"/>
  </r>
  <r>
    <m/>
    <x v="3"/>
    <x v="5"/>
    <x v="5"/>
    <x v="32"/>
    <x v="6"/>
    <m/>
    <m/>
    <m/>
    <m/>
    <m/>
    <x v="2"/>
    <m/>
    <m/>
    <m/>
    <m/>
    <m/>
    <m/>
    <m/>
    <m/>
    <n v="446"/>
    <s v="Suburban"/>
    <s v="OR"/>
    <n v="101815.71"/>
    <n v="950"/>
    <n v="300"/>
    <n v="7800"/>
    <s v="13.053296153846151"/>
    <x v="1"/>
  </r>
  <r>
    <m/>
    <x v="3"/>
    <x v="5"/>
    <x v="5"/>
    <x v="32"/>
    <x v="6"/>
    <m/>
    <m/>
    <m/>
    <m/>
    <m/>
    <x v="2"/>
    <m/>
    <m/>
    <m/>
    <m/>
    <m/>
    <m/>
    <m/>
    <m/>
    <n v="447"/>
    <s v="Rural"/>
    <s v="TX"/>
    <n v="46390.68"/>
    <n v="950"/>
    <n v="250"/>
    <n v="8400"/>
    <n v="5.5227000000000004"/>
    <x v="0"/>
  </r>
  <r>
    <m/>
    <x v="3"/>
    <x v="5"/>
    <x v="5"/>
    <x v="32"/>
    <x v="6"/>
    <m/>
    <m/>
    <m/>
    <m/>
    <m/>
    <x v="2"/>
    <m/>
    <m/>
    <m/>
    <m/>
    <m/>
    <m/>
    <m/>
    <m/>
    <n v="448"/>
    <s v="Rural"/>
    <s v="TX"/>
    <n v="48842.07"/>
    <n v="975"/>
    <n v="350"/>
    <n v="7500"/>
    <n v="6.512276"/>
    <x v="0"/>
  </r>
  <r>
    <m/>
    <x v="3"/>
    <x v="5"/>
    <x v="5"/>
    <x v="32"/>
    <x v="6"/>
    <m/>
    <m/>
    <m/>
    <m/>
    <m/>
    <x v="2"/>
    <m/>
    <m/>
    <m/>
    <m/>
    <m/>
    <m/>
    <m/>
    <m/>
    <n v="449"/>
    <s v="Suburban"/>
    <s v="TX"/>
    <n v="128345.58"/>
    <n v="975"/>
    <n v="275"/>
    <n v="8400"/>
    <s v="15.279235714285717"/>
    <x v="1"/>
  </r>
  <r>
    <m/>
    <x v="3"/>
    <x v="5"/>
    <x v="5"/>
    <x v="32"/>
    <x v="6"/>
    <m/>
    <m/>
    <m/>
    <m/>
    <m/>
    <x v="2"/>
    <m/>
    <m/>
    <m/>
    <m/>
    <m/>
    <m/>
    <m/>
    <m/>
    <n v="450"/>
    <s v="Suburban"/>
    <s v="TX"/>
    <n v="100376.61"/>
    <n v="875"/>
    <n v="300"/>
    <n v="6900"/>
    <s v="14.547334782608695"/>
    <x v="1"/>
  </r>
  <r>
    <m/>
    <x v="3"/>
    <x v="5"/>
    <x v="5"/>
    <x v="32"/>
    <x v="6"/>
    <m/>
    <m/>
    <m/>
    <m/>
    <m/>
    <x v="2"/>
    <m/>
    <m/>
    <m/>
    <m/>
    <m/>
    <m/>
    <m/>
    <m/>
    <n v="451"/>
    <s v="Suburban"/>
    <s v="TX"/>
    <n v="108492.15"/>
    <n v="975"/>
    <n v="375"/>
    <n v="7200"/>
    <s v="15.068354166666666"/>
    <x v="1"/>
  </r>
  <r>
    <m/>
    <x v="3"/>
    <x v="5"/>
    <x v="5"/>
    <x v="32"/>
    <x v="6"/>
    <m/>
    <m/>
    <m/>
    <m/>
    <m/>
    <x v="2"/>
    <m/>
    <m/>
    <m/>
    <m/>
    <m/>
    <m/>
    <m/>
    <m/>
    <n v="452"/>
    <s v="Urban"/>
    <s v="FL"/>
    <n v="110757.81"/>
    <n v="950"/>
    <n v="325"/>
    <n v="7500"/>
    <n v="14.767708000000001"/>
    <x v="1"/>
  </r>
  <r>
    <m/>
    <x v="3"/>
    <x v="5"/>
    <x v="5"/>
    <x v="32"/>
    <x v="6"/>
    <m/>
    <m/>
    <m/>
    <m/>
    <m/>
    <x v="2"/>
    <m/>
    <m/>
    <m/>
    <m/>
    <m/>
    <m/>
    <m/>
    <m/>
    <n v="453"/>
    <s v="Suburban"/>
    <s v="FL"/>
    <n v="110011.2"/>
    <n v="950"/>
    <n v="250"/>
    <n v="8400"/>
    <s v="13.096571428571428"/>
    <x v="1"/>
  </r>
  <r>
    <m/>
    <x v="3"/>
    <x v="5"/>
    <x v="5"/>
    <x v="32"/>
    <x v="6"/>
    <m/>
    <m/>
    <m/>
    <m/>
    <m/>
    <x v="2"/>
    <m/>
    <m/>
    <m/>
    <m/>
    <m/>
    <m/>
    <m/>
    <m/>
    <n v="454"/>
    <s v="Suburban"/>
    <s v="OR"/>
    <n v="108716.01"/>
    <n v="875"/>
    <n v="225"/>
    <n v="7800"/>
    <n v="13.937950000000001"/>
    <x v="1"/>
  </r>
  <r>
    <m/>
    <x v="3"/>
    <x v="5"/>
    <x v="5"/>
    <x v="32"/>
    <x v="6"/>
    <m/>
    <m/>
    <m/>
    <m/>
    <m/>
    <x v="2"/>
    <m/>
    <m/>
    <m/>
    <m/>
    <m/>
    <m/>
    <m/>
    <m/>
    <n v="455"/>
    <s v="Rural"/>
    <s v="PA"/>
    <n v="49142.19"/>
    <n v="875"/>
    <m/>
    <n v="10500"/>
    <s v="4.6802085714285715"/>
    <x v="2"/>
  </r>
  <r>
    <m/>
    <x v="3"/>
    <x v="5"/>
    <x v="5"/>
    <x v="32"/>
    <x v="6"/>
    <m/>
    <m/>
    <m/>
    <m/>
    <m/>
    <x v="2"/>
    <m/>
    <m/>
    <m/>
    <m/>
    <m/>
    <m/>
    <m/>
    <m/>
    <n v="456"/>
    <s v="Suburban"/>
    <s v="TX"/>
    <n v="108028.44"/>
    <n v="875"/>
    <n v="175"/>
    <n v="8400"/>
    <s v="12.860528571428572"/>
    <x v="1"/>
  </r>
  <r>
    <m/>
    <x v="3"/>
    <x v="5"/>
    <x v="5"/>
    <x v="32"/>
    <x v="6"/>
    <m/>
    <m/>
    <m/>
    <m/>
    <m/>
    <x v="2"/>
    <m/>
    <m/>
    <m/>
    <m/>
    <m/>
    <m/>
    <m/>
    <m/>
    <n v="457"/>
    <s v="Suburban"/>
    <s v="OR"/>
    <n v="131089.71"/>
    <n v="875"/>
    <n v="450"/>
    <n v="5100"/>
    <s v="25.703864705882353"/>
    <x v="1"/>
  </r>
  <r>
    <m/>
    <x v="3"/>
    <x v="5"/>
    <x v="5"/>
    <x v="32"/>
    <x v="6"/>
    <m/>
    <m/>
    <m/>
    <m/>
    <m/>
    <x v="2"/>
    <m/>
    <m/>
    <m/>
    <m/>
    <m/>
    <m/>
    <m/>
    <m/>
    <n v="458"/>
    <s v="Rural"/>
    <s v="AZ"/>
    <n v="34838.519999999997"/>
    <n v="975"/>
    <n v="350"/>
    <n v="7500"/>
    <n v="4.6451359999999999"/>
    <x v="2"/>
  </r>
  <r>
    <m/>
    <x v="3"/>
    <x v="5"/>
    <x v="5"/>
    <x v="32"/>
    <x v="6"/>
    <m/>
    <m/>
    <m/>
    <m/>
    <m/>
    <x v="2"/>
    <m/>
    <m/>
    <m/>
    <m/>
    <m/>
    <m/>
    <m/>
    <m/>
    <n v="459"/>
    <s v="Suburban"/>
    <s v="OR"/>
    <n v="132718.23000000001"/>
    <n v="825"/>
    <n v="275"/>
    <n v="6600"/>
    <s v="20.108822727272727"/>
    <x v="1"/>
  </r>
  <r>
    <m/>
    <x v="3"/>
    <x v="5"/>
    <x v="5"/>
    <x v="32"/>
    <x v="6"/>
    <m/>
    <m/>
    <m/>
    <m/>
    <m/>
    <x v="2"/>
    <m/>
    <m/>
    <m/>
    <m/>
    <m/>
    <m/>
    <m/>
    <m/>
    <n v="460"/>
    <s v="Rural"/>
    <s v="TX"/>
    <n v="41480.519999999997"/>
    <n v="975"/>
    <n v="150"/>
    <n v="9900"/>
    <s v="4.189951515151515"/>
    <x v="2"/>
  </r>
  <r>
    <m/>
    <x v="3"/>
    <x v="5"/>
    <x v="5"/>
    <x v="32"/>
    <x v="6"/>
    <m/>
    <m/>
    <m/>
    <m/>
    <m/>
    <x v="2"/>
    <m/>
    <m/>
    <m/>
    <m/>
    <m/>
    <m/>
    <m/>
    <m/>
    <n v="461"/>
    <s v="Rural"/>
    <s v="TX"/>
    <n v="48907.26"/>
    <n v="975"/>
    <n v="200"/>
    <n v="9300"/>
    <s v="5.258845161290322"/>
    <x v="0"/>
  </r>
  <r>
    <m/>
    <x v="3"/>
    <x v="5"/>
    <x v="5"/>
    <x v="32"/>
    <x v="6"/>
    <m/>
    <m/>
    <m/>
    <m/>
    <m/>
    <x v="2"/>
    <m/>
    <m/>
    <m/>
    <m/>
    <m/>
    <m/>
    <m/>
    <m/>
    <n v="462"/>
    <s v="Rural"/>
    <s v="PA"/>
    <n v="38717.5"/>
    <n v="950"/>
    <n v="300"/>
    <n v="7800"/>
    <s v="4.963782051282052"/>
    <x v="2"/>
  </r>
  <r>
    <m/>
    <x v="3"/>
    <x v="5"/>
    <x v="5"/>
    <x v="32"/>
    <x v="6"/>
    <m/>
    <m/>
    <m/>
    <m/>
    <m/>
    <x v="2"/>
    <m/>
    <m/>
    <m/>
    <m/>
    <m/>
    <m/>
    <m/>
    <m/>
    <n v="463"/>
    <s v="Rural"/>
    <s v="PA"/>
    <n v="37098.75"/>
    <n v="825"/>
    <n v="300"/>
    <n v="6300"/>
    <s v="5.888690476190476"/>
    <x v="0"/>
  </r>
  <r>
    <m/>
    <x v="3"/>
    <x v="5"/>
    <x v="5"/>
    <x v="32"/>
    <x v="6"/>
    <m/>
    <m/>
    <m/>
    <m/>
    <m/>
    <x v="2"/>
    <m/>
    <m/>
    <m/>
    <m/>
    <m/>
    <m/>
    <m/>
    <m/>
    <n v="464"/>
    <s v="Suburban"/>
    <s v="TX"/>
    <n v="131588.75"/>
    <n v="975"/>
    <n v="200"/>
    <n v="9300"/>
    <s v="14.149327956989248"/>
    <x v="1"/>
  </r>
  <r>
    <m/>
    <x v="3"/>
    <x v="5"/>
    <x v="5"/>
    <x v="32"/>
    <x v="6"/>
    <m/>
    <m/>
    <m/>
    <m/>
    <m/>
    <x v="2"/>
    <m/>
    <m/>
    <m/>
    <m/>
    <m/>
    <m/>
    <m/>
    <m/>
    <n v="465"/>
    <s v="Rural"/>
    <s v="OR"/>
    <n v="26068.75"/>
    <n v="950"/>
    <n v="250"/>
    <n v="8400"/>
    <s v="3.103422619047619"/>
    <x v="2"/>
  </r>
  <r>
    <m/>
    <x v="3"/>
    <x v="5"/>
    <x v="5"/>
    <x v="32"/>
    <x v="6"/>
    <m/>
    <m/>
    <m/>
    <m/>
    <m/>
    <x v="2"/>
    <m/>
    <m/>
    <m/>
    <m/>
    <m/>
    <m/>
    <m/>
    <m/>
    <n v="466"/>
    <s v="Rural"/>
    <s v="PA"/>
    <n v="32921.25"/>
    <n v="975"/>
    <n v="375"/>
    <n v="7200"/>
    <s v="4.572395833333333"/>
    <x v="2"/>
  </r>
  <r>
    <m/>
    <x v="3"/>
    <x v="5"/>
    <x v="5"/>
    <x v="32"/>
    <x v="6"/>
    <m/>
    <m/>
    <m/>
    <m/>
    <m/>
    <x v="2"/>
    <m/>
    <m/>
    <m/>
    <m/>
    <m/>
    <m/>
    <m/>
    <m/>
    <n v="467"/>
    <s v="Rural"/>
    <s v="TX"/>
    <n v="47280"/>
    <n v="875"/>
    <n v="200"/>
    <n v="8100"/>
    <s v="5.837037037037037"/>
    <x v="0"/>
  </r>
  <r>
    <m/>
    <x v="3"/>
    <x v="5"/>
    <x v="5"/>
    <x v="32"/>
    <x v="6"/>
    <m/>
    <m/>
    <m/>
    <m/>
    <m/>
    <x v="2"/>
    <m/>
    <m/>
    <m/>
    <m/>
    <m/>
    <m/>
    <m/>
    <m/>
    <n v="468"/>
    <s v="Rural"/>
    <s v="TX"/>
    <n v="36393.75"/>
    <n v="825"/>
    <n v="250"/>
    <n v="6900"/>
    <s v="5.274456521739131"/>
    <x v="0"/>
  </r>
  <r>
    <m/>
    <x v="3"/>
    <x v="5"/>
    <x v="5"/>
    <x v="32"/>
    <x v="6"/>
    <m/>
    <m/>
    <m/>
    <m/>
    <m/>
    <x v="2"/>
    <m/>
    <m/>
    <m/>
    <m/>
    <m/>
    <m/>
    <m/>
    <m/>
    <n v="469"/>
    <s v="Suburban"/>
    <s v="TX"/>
    <n v="118886.25"/>
    <n v="875"/>
    <n v="275"/>
    <n v="7200"/>
    <s v="16.511979166666666"/>
    <x v="1"/>
  </r>
  <r>
    <m/>
    <x v="3"/>
    <x v="5"/>
    <x v="5"/>
    <x v="32"/>
    <x v="6"/>
    <m/>
    <m/>
    <m/>
    <m/>
    <m/>
    <x v="2"/>
    <m/>
    <m/>
    <m/>
    <m/>
    <m/>
    <m/>
    <m/>
    <m/>
    <n v="470"/>
    <s v="Rural"/>
    <s v="FL"/>
    <n v="49023.75"/>
    <n v="875"/>
    <n v="200"/>
    <n v="8100"/>
    <s v="6.052314814814815"/>
    <x v="0"/>
  </r>
  <r>
    <m/>
    <x v="3"/>
    <x v="5"/>
    <x v="5"/>
    <x v="32"/>
    <x v="6"/>
    <m/>
    <m/>
    <m/>
    <m/>
    <m/>
    <x v="2"/>
    <m/>
    <m/>
    <m/>
    <m/>
    <m/>
    <m/>
    <m/>
    <m/>
    <n v="471"/>
    <s v="Suburban"/>
    <s v="OR"/>
    <n v="133112.5"/>
    <n v="825"/>
    <n v="325"/>
    <n v="6000"/>
    <s v="22.185416666666665"/>
    <x v="1"/>
  </r>
  <r>
    <m/>
    <x v="3"/>
    <x v="5"/>
    <x v="5"/>
    <x v="32"/>
    <x v="6"/>
    <m/>
    <m/>
    <m/>
    <m/>
    <m/>
    <x v="2"/>
    <m/>
    <m/>
    <m/>
    <m/>
    <m/>
    <m/>
    <m/>
    <m/>
    <n v="472"/>
    <s v="Suburban"/>
    <s v="FL"/>
    <n v="117221.25"/>
    <n v="825"/>
    <n v="225"/>
    <n v="7200"/>
    <s v="16.280729166666667"/>
    <x v="1"/>
  </r>
  <r>
    <m/>
    <x v="3"/>
    <x v="5"/>
    <x v="5"/>
    <x v="32"/>
    <x v="6"/>
    <m/>
    <m/>
    <m/>
    <m/>
    <m/>
    <x v="2"/>
    <m/>
    <m/>
    <m/>
    <m/>
    <m/>
    <m/>
    <m/>
    <m/>
    <n v="473"/>
    <s v="Rural"/>
    <s v="PA"/>
    <n v="32447.5"/>
    <n v="825"/>
    <n v="300"/>
    <n v="6300"/>
    <s v="5.150396825396825"/>
    <x v="0"/>
  </r>
  <r>
    <m/>
    <x v="3"/>
    <x v="5"/>
    <x v="5"/>
    <x v="32"/>
    <x v="6"/>
    <m/>
    <m/>
    <m/>
    <m/>
    <m/>
    <x v="2"/>
    <m/>
    <m/>
    <m/>
    <m/>
    <m/>
    <m/>
    <m/>
    <m/>
    <n v="474"/>
    <s v="Rural"/>
    <s v="PA"/>
    <n v="34130"/>
    <n v="825"/>
    <n v="350"/>
    <n v="5700"/>
    <s v="5.987719298245614"/>
    <x v="0"/>
  </r>
  <r>
    <m/>
    <x v="3"/>
    <x v="5"/>
    <x v="5"/>
    <x v="32"/>
    <x v="6"/>
    <m/>
    <m/>
    <m/>
    <m/>
    <m/>
    <x v="2"/>
    <m/>
    <m/>
    <m/>
    <m/>
    <m/>
    <m/>
    <m/>
    <m/>
    <n v="475"/>
    <s v="Suburban"/>
    <s v="AZ"/>
    <n v="101576.25"/>
    <n v="825"/>
    <n v="400"/>
    <n v="5100"/>
    <s v="19.916911764705883"/>
    <x v="1"/>
  </r>
  <r>
    <m/>
    <x v="3"/>
    <x v="5"/>
    <x v="5"/>
    <x v="32"/>
    <x v="6"/>
    <m/>
    <m/>
    <m/>
    <m/>
    <m/>
    <x v="2"/>
    <m/>
    <m/>
    <m/>
    <m/>
    <m/>
    <m/>
    <m/>
    <m/>
    <n v="476"/>
    <s v="Suburban"/>
    <s v="FL"/>
    <n v="129618.75"/>
    <n v="875"/>
    <n v="175"/>
    <n v="8400"/>
    <s v="15.430803571428571"/>
    <x v="1"/>
  </r>
  <r>
    <m/>
    <x v="3"/>
    <x v="5"/>
    <x v="5"/>
    <x v="32"/>
    <x v="6"/>
    <m/>
    <m/>
    <m/>
    <m/>
    <m/>
    <x v="2"/>
    <m/>
    <m/>
    <m/>
    <m/>
    <m/>
    <m/>
    <m/>
    <m/>
    <n v="477"/>
    <s v="Suburban"/>
    <s v="OR"/>
    <n v="113855"/>
    <n v="875"/>
    <n v="400"/>
    <n v="5700"/>
    <s v="19.974561403508773"/>
    <x v="1"/>
  </r>
  <r>
    <m/>
    <x v="3"/>
    <x v="5"/>
    <x v="5"/>
    <x v="32"/>
    <x v="6"/>
    <m/>
    <m/>
    <m/>
    <m/>
    <m/>
    <x v="2"/>
    <m/>
    <m/>
    <m/>
    <m/>
    <m/>
    <m/>
    <m/>
    <m/>
    <n v="478"/>
    <s v="Suburban"/>
    <s v="TX"/>
    <n v="124838.75"/>
    <n v="825"/>
    <n v="225"/>
    <n v="7200"/>
    <s v="17.338715277777776"/>
    <x v="1"/>
  </r>
  <r>
    <m/>
    <x v="3"/>
    <x v="5"/>
    <x v="5"/>
    <x v="32"/>
    <x v="6"/>
    <m/>
    <m/>
    <m/>
    <m/>
    <m/>
    <x v="2"/>
    <m/>
    <m/>
    <m/>
    <m/>
    <m/>
    <m/>
    <m/>
    <m/>
    <n v="479"/>
    <s v="Suburban"/>
    <s v="TX"/>
    <n v="120790"/>
    <n v="950"/>
    <n v="400"/>
    <n v="6600"/>
    <s v="18.30151515151515"/>
    <x v="1"/>
  </r>
  <r>
    <m/>
    <x v="3"/>
    <x v="5"/>
    <x v="5"/>
    <x v="32"/>
    <x v="6"/>
    <m/>
    <m/>
    <m/>
    <m/>
    <m/>
    <x v="2"/>
    <m/>
    <m/>
    <m/>
    <m/>
    <m/>
    <m/>
    <m/>
    <m/>
    <n v="480"/>
    <s v="Rural"/>
    <s v="AZ"/>
    <n v="30970"/>
    <n v="825"/>
    <n v="325"/>
    <n v="6000"/>
    <s v="5.161666666666667"/>
    <x v="0"/>
  </r>
  <r>
    <m/>
    <x v="3"/>
    <x v="5"/>
    <x v="5"/>
    <x v="32"/>
    <x v="6"/>
    <m/>
    <m/>
    <m/>
    <m/>
    <m/>
    <x v="2"/>
    <m/>
    <m/>
    <m/>
    <m/>
    <m/>
    <m/>
    <m/>
    <m/>
    <n v="481"/>
    <s v="Rural"/>
    <s v="TX"/>
    <n v="43270"/>
    <n v="950"/>
    <n v="275"/>
    <n v="8100"/>
    <s v="5.341975308641976"/>
    <x v="0"/>
  </r>
  <r>
    <m/>
    <x v="3"/>
    <x v="5"/>
    <x v="5"/>
    <x v="32"/>
    <x v="6"/>
    <m/>
    <m/>
    <m/>
    <m/>
    <m/>
    <x v="2"/>
    <m/>
    <m/>
    <m/>
    <m/>
    <m/>
    <m/>
    <m/>
    <m/>
    <n v="482"/>
    <s v="Rural"/>
    <s v="PA"/>
    <n v="32543.75"/>
    <n v="875"/>
    <n v="250"/>
    <n v="7500"/>
    <s v="4.339166666666666"/>
    <x v="2"/>
  </r>
  <r>
    <m/>
    <x v="3"/>
    <x v="5"/>
    <x v="5"/>
    <x v="32"/>
    <x v="6"/>
    <m/>
    <m/>
    <m/>
    <m/>
    <m/>
    <x v="2"/>
    <m/>
    <m/>
    <m/>
    <m/>
    <m/>
    <m/>
    <m/>
    <m/>
    <n v="483"/>
    <s v="Rural"/>
    <s v="PA"/>
    <n v="32045"/>
    <n v="950"/>
    <n v="275"/>
    <n v="8100"/>
    <s v="3.956172839506173"/>
    <x v="2"/>
  </r>
  <r>
    <m/>
    <x v="3"/>
    <x v="5"/>
    <x v="5"/>
    <x v="32"/>
    <x v="6"/>
    <m/>
    <m/>
    <m/>
    <m/>
    <m/>
    <x v="2"/>
    <m/>
    <m/>
    <m/>
    <m/>
    <m/>
    <m/>
    <m/>
    <m/>
    <n v="484"/>
    <s v="Rural"/>
    <s v="OR"/>
    <n v="112375"/>
    <n v="1150"/>
    <n v="350"/>
    <n v="9600"/>
    <s v="11.705729166666666"/>
    <x v="1"/>
  </r>
  <r>
    <m/>
    <x v="3"/>
    <x v="5"/>
    <x v="5"/>
    <x v="32"/>
    <x v="6"/>
    <m/>
    <m/>
    <m/>
    <m/>
    <m/>
    <x v="2"/>
    <m/>
    <m/>
    <m/>
    <m/>
    <m/>
    <m/>
    <m/>
    <m/>
    <n v="485"/>
    <s v="Rural"/>
    <s v="OR"/>
    <n v="37522.5"/>
    <n v="975"/>
    <n v="300"/>
    <n v="8100"/>
    <s v="4.632407407407407"/>
    <x v="2"/>
  </r>
  <r>
    <m/>
    <x v="3"/>
    <x v="5"/>
    <x v="5"/>
    <x v="32"/>
    <x v="6"/>
    <m/>
    <m/>
    <m/>
    <m/>
    <m/>
    <x v="2"/>
    <m/>
    <m/>
    <m/>
    <m/>
    <m/>
    <m/>
    <m/>
    <m/>
    <n v="486"/>
    <s v="Urban"/>
    <s v="TX"/>
    <n v="113963.75"/>
    <n v="975"/>
    <n v="325"/>
    <n v="7800"/>
    <s v="14.61073717948718"/>
    <x v="1"/>
  </r>
  <r>
    <m/>
    <x v="3"/>
    <x v="5"/>
    <x v="5"/>
    <x v="32"/>
    <x v="6"/>
    <m/>
    <m/>
    <m/>
    <m/>
    <m/>
    <x v="2"/>
    <m/>
    <m/>
    <m/>
    <m/>
    <m/>
    <m/>
    <m/>
    <m/>
    <n v="487"/>
    <s v="Suburban"/>
    <s v="FL"/>
    <n v="133226.25"/>
    <n v="875"/>
    <n v="350"/>
    <n v="6300"/>
    <s v="21.14702380952381"/>
    <x v="1"/>
  </r>
  <r>
    <m/>
    <x v="3"/>
    <x v="5"/>
    <x v="5"/>
    <x v="32"/>
    <x v="6"/>
    <m/>
    <m/>
    <m/>
    <m/>
    <m/>
    <x v="2"/>
    <m/>
    <m/>
    <m/>
    <m/>
    <m/>
    <m/>
    <m/>
    <m/>
    <n v="488"/>
    <s v="Suburban"/>
    <s v="FL"/>
    <n v="123923.75"/>
    <n v="950"/>
    <n v="275"/>
    <n v="8100"/>
    <s v="15.299228395061728"/>
    <x v="1"/>
  </r>
  <r>
    <m/>
    <x v="3"/>
    <x v="5"/>
    <x v="5"/>
    <x v="32"/>
    <x v="6"/>
    <m/>
    <m/>
    <m/>
    <m/>
    <m/>
    <x v="2"/>
    <m/>
    <m/>
    <m/>
    <m/>
    <m/>
    <m/>
    <m/>
    <m/>
    <n v="489"/>
    <s v="Suburban"/>
    <s v="PA"/>
    <n v="113731.25"/>
    <n v="975"/>
    <n v="350"/>
    <n v="7500"/>
    <s v="15.164166666666668"/>
    <x v="1"/>
  </r>
  <r>
    <m/>
    <x v="3"/>
    <x v="5"/>
    <x v="5"/>
    <x v="32"/>
    <x v="6"/>
    <m/>
    <m/>
    <m/>
    <m/>
    <m/>
    <x v="2"/>
    <m/>
    <m/>
    <m/>
    <m/>
    <m/>
    <m/>
    <m/>
    <m/>
    <n v="490"/>
    <s v="Rural"/>
    <s v="PA"/>
    <n v="40152.5"/>
    <n v="825"/>
    <n v="325"/>
    <n v="6000"/>
    <s v="6.692083333333334"/>
    <x v="0"/>
  </r>
  <r>
    <m/>
    <x v="3"/>
    <x v="5"/>
    <x v="5"/>
    <x v="32"/>
    <x v="6"/>
    <m/>
    <m/>
    <m/>
    <m/>
    <m/>
    <x v="2"/>
    <m/>
    <m/>
    <m/>
    <m/>
    <m/>
    <m/>
    <m/>
    <m/>
    <n v="491"/>
    <s v="Rural"/>
    <s v="OR"/>
    <n v="29931.25"/>
    <n v="875"/>
    <n v="325"/>
    <n v="6600"/>
    <s v="4.535037878787879"/>
    <x v="2"/>
  </r>
  <r>
    <m/>
    <x v="3"/>
    <x v="5"/>
    <x v="5"/>
    <x v="32"/>
    <x v="6"/>
    <m/>
    <m/>
    <m/>
    <m/>
    <m/>
    <x v="2"/>
    <m/>
    <m/>
    <m/>
    <m/>
    <m/>
    <m/>
    <m/>
    <m/>
    <n v="492"/>
    <s v="Urban"/>
    <s v="FL"/>
    <n v="111505"/>
    <n v="875"/>
    <n v="375"/>
    <n v="6000"/>
    <s v="18.58416666666667"/>
    <x v="1"/>
  </r>
  <r>
    <m/>
    <x v="3"/>
    <x v="5"/>
    <x v="5"/>
    <x v="32"/>
    <x v="6"/>
    <m/>
    <m/>
    <m/>
    <m/>
    <m/>
    <x v="2"/>
    <m/>
    <m/>
    <m/>
    <m/>
    <m/>
    <m/>
    <m/>
    <m/>
    <n v="493"/>
    <s v="Rural"/>
    <s v="TX"/>
    <n v="46676.25"/>
    <n v="950"/>
    <n v="250"/>
    <n v="8400"/>
    <s v="5.556696428571429"/>
    <x v="0"/>
  </r>
  <r>
    <m/>
    <x v="3"/>
    <x v="5"/>
    <x v="5"/>
    <x v="32"/>
    <x v="6"/>
    <m/>
    <m/>
    <m/>
    <m/>
    <m/>
    <x v="2"/>
    <m/>
    <m/>
    <m/>
    <m/>
    <m/>
    <m/>
    <m/>
    <m/>
    <n v="494"/>
    <s v="Rural"/>
    <s v="PA"/>
    <n v="44408.75"/>
    <n v="975"/>
    <m/>
    <n v="11700"/>
    <s v="3.795619658119658"/>
    <x v="2"/>
  </r>
  <r>
    <m/>
    <x v="3"/>
    <x v="5"/>
    <x v="5"/>
    <x v="32"/>
    <x v="6"/>
    <m/>
    <m/>
    <m/>
    <m/>
    <m/>
    <x v="2"/>
    <m/>
    <m/>
    <m/>
    <m/>
    <m/>
    <m/>
    <m/>
    <m/>
    <n v="495"/>
    <s v="Rural"/>
    <s v="OR"/>
    <n v="44121.25"/>
    <n v="825"/>
    <n v="275"/>
    <n v="6600"/>
    <s v="6.685037878787878"/>
    <x v="0"/>
  </r>
  <r>
    <m/>
    <x v="3"/>
    <x v="5"/>
    <x v="5"/>
    <x v="32"/>
    <x v="6"/>
    <m/>
    <m/>
    <m/>
    <m/>
    <m/>
    <x v="2"/>
    <m/>
    <m/>
    <m/>
    <m/>
    <m/>
    <m/>
    <m/>
    <m/>
    <n v="496"/>
    <s v="Suburban"/>
    <s v="TX"/>
    <n v="105875"/>
    <n v="950"/>
    <n v="350"/>
    <n v="7200"/>
    <s v="14.70486111111111"/>
    <x v="1"/>
  </r>
  <r>
    <m/>
    <x v="3"/>
    <x v="5"/>
    <x v="5"/>
    <x v="32"/>
    <x v="6"/>
    <m/>
    <m/>
    <m/>
    <m/>
    <m/>
    <x v="2"/>
    <m/>
    <m/>
    <m/>
    <m/>
    <m/>
    <m/>
    <m/>
    <m/>
    <n v="497"/>
    <s v="Rural"/>
    <s v="PA"/>
    <n v="27095"/>
    <n v="875"/>
    <n v="325"/>
    <n v="6600"/>
    <s v="4.1053030303030305"/>
    <x v="2"/>
  </r>
  <r>
    <m/>
    <x v="3"/>
    <x v="5"/>
    <x v="5"/>
    <x v="32"/>
    <x v="6"/>
    <m/>
    <m/>
    <m/>
    <m/>
    <m/>
    <x v="2"/>
    <m/>
    <m/>
    <m/>
    <m/>
    <m/>
    <m/>
    <m/>
    <m/>
    <n v="498"/>
    <s v="Rural"/>
    <s v="PA"/>
    <n v="35860"/>
    <n v="950"/>
    <n v="225"/>
    <n v="8700"/>
    <n v="4.12183908045977"/>
    <x v="2"/>
  </r>
  <r>
    <m/>
    <x v="3"/>
    <x v="5"/>
    <x v="5"/>
    <x v="32"/>
    <x v="6"/>
    <m/>
    <m/>
    <m/>
    <m/>
    <m/>
    <x v="2"/>
    <m/>
    <m/>
    <m/>
    <m/>
    <m/>
    <m/>
    <m/>
    <m/>
    <n v="499"/>
    <s v="Rural"/>
    <s v="TX"/>
    <n v="42772.5"/>
    <n v="825"/>
    <n v="325"/>
    <n v="6000"/>
    <n v="7.1287500000000001"/>
    <x v="0"/>
  </r>
  <r>
    <m/>
    <x v="3"/>
    <x v="5"/>
    <x v="5"/>
    <x v="32"/>
    <x v="6"/>
    <m/>
    <m/>
    <m/>
    <m/>
    <m/>
    <x v="2"/>
    <m/>
    <m/>
    <m/>
    <m/>
    <m/>
    <m/>
    <m/>
    <m/>
    <n v="500"/>
    <s v="Urban"/>
    <s v="FL"/>
    <n v="121382.5"/>
    <n v="875"/>
    <n v="700"/>
    <n v="2100"/>
    <s v="57.80119047619048"/>
    <x v="1"/>
  </r>
  <r>
    <m/>
    <x v="3"/>
    <x v="5"/>
    <x v="5"/>
    <x v="32"/>
    <x v="6"/>
    <m/>
    <m/>
    <m/>
    <m/>
    <m/>
    <x v="2"/>
    <m/>
    <m/>
    <m/>
    <m/>
    <m/>
    <m/>
    <m/>
    <m/>
    <m/>
    <m/>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726EAF-95CA-284B-AF85-32E896BEB8B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0:D34" firstHeaderRow="1" firstDataRow="2" firstDataCol="1"/>
  <pivotFields count="29">
    <pivotField dataField="1" showAll="0"/>
    <pivotField showAll="0">
      <items count="5">
        <item x="1"/>
        <item x="0"/>
        <item x="2"/>
        <item x="3"/>
        <item t="default"/>
      </items>
    </pivotField>
    <pivotField showAll="0"/>
    <pivotField showAll="0"/>
    <pivotField showAll="0"/>
    <pivotField axis="axisRow" showAll="0">
      <items count="6">
        <item h="1" x="0"/>
        <item x="1"/>
        <item x="2"/>
        <item x="3"/>
        <item x="4"/>
        <item t="default"/>
      </items>
    </pivotField>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2"/>
    </i>
    <i>
      <x v="3"/>
    </i>
    <i t="grand">
      <x/>
    </i>
  </rowItems>
  <colFields count="1">
    <field x="11"/>
  </colFields>
  <colItems count="3">
    <i>
      <x/>
    </i>
    <i>
      <x v="1"/>
    </i>
    <i t="grand">
      <x/>
    </i>
  </colItems>
  <dataFields count="1">
    <dataField name="Sum of Site Number" fld="0" baseField="0" baseItem="0"/>
  </dataFields>
  <chartFormats count="12">
    <chartFormat chart="4" format="2" series="1">
      <pivotArea type="data" outline="0" fieldPosition="0">
        <references count="2">
          <reference field="4294967294" count="1" selected="0">
            <x v="0"/>
          </reference>
          <reference field="11" count="1" selected="0">
            <x v="0"/>
          </reference>
        </references>
      </pivotArea>
    </chartFormat>
    <chartFormat chart="4" format="3" series="1">
      <pivotArea type="data" outline="0" fieldPosition="0">
        <references count="2">
          <reference field="4294967294" count="1" selected="0">
            <x v="0"/>
          </reference>
          <reference field="11" count="1" selected="0">
            <x v="1"/>
          </reference>
        </references>
      </pivotArea>
    </chartFormat>
    <chartFormat chart="5" format="0" series="1">
      <pivotArea type="data" outline="0" fieldPosition="0">
        <references count="2">
          <reference field="4294967294" count="1" selected="0">
            <x v="0"/>
          </reference>
          <reference field="11" count="1" selected="0">
            <x v="0"/>
          </reference>
        </references>
      </pivotArea>
    </chartFormat>
    <chartFormat chart="5" format="1" series="1">
      <pivotArea type="data" outline="0" fieldPosition="0">
        <references count="2">
          <reference field="4294967294" count="1" selected="0">
            <x v="0"/>
          </reference>
          <reference field="11" count="1" selected="0">
            <x v="1"/>
          </reference>
        </references>
      </pivotArea>
    </chartFormat>
    <chartFormat chart="5" format="2" series="1">
      <pivotArea type="data" outline="0" fieldPosition="0">
        <references count="2">
          <reference field="4294967294" count="1" selected="0">
            <x v="0"/>
          </reference>
          <reference field="11" count="1" selected="0">
            <x v="2"/>
          </reference>
        </references>
      </pivotArea>
    </chartFormat>
    <chartFormat chart="8" format="5" series="1">
      <pivotArea type="data" outline="0" fieldPosition="0">
        <references count="2">
          <reference field="4294967294" count="1" selected="0">
            <x v="0"/>
          </reference>
          <reference field="11" count="1" selected="0">
            <x v="0"/>
          </reference>
        </references>
      </pivotArea>
    </chartFormat>
    <chartFormat chart="8" format="6" series="1">
      <pivotArea type="data" outline="0" fieldPosition="0">
        <references count="2">
          <reference field="4294967294" count="1" selected="0">
            <x v="0"/>
          </reference>
          <reference field="11" count="1" selected="0">
            <x v="1"/>
          </reference>
        </references>
      </pivotArea>
    </chartFormat>
    <chartFormat chart="8" format="7"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11" count="1" selected="0">
            <x v="0"/>
          </reference>
        </references>
      </pivotArea>
    </chartFormat>
    <chartFormat chart="12" format="11" series="1">
      <pivotArea type="data" outline="0" fieldPosition="0">
        <references count="2">
          <reference field="4294967294" count="1" selected="0">
            <x v="0"/>
          </reference>
          <reference field="11" count="1" selected="0">
            <x v="1"/>
          </reference>
        </references>
      </pivotArea>
    </chartFormat>
    <chartFormat chart="1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8A3C1E-817F-1D44-94DB-4070FEE1460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E8" firstHeaderRow="1" firstDataRow="2" firstDataCol="1"/>
  <pivotFields count="29">
    <pivotField dataField="1" showAll="0"/>
    <pivotField axis="axisRow" showAll="0">
      <items count="5">
        <item x="1"/>
        <item x="0"/>
        <item x="2"/>
        <item x="3"/>
        <item t="default"/>
      </items>
    </pivotField>
    <pivotField showAll="0">
      <items count="7">
        <item x="0"/>
        <item x="1"/>
        <item x="3"/>
        <item x="2"/>
        <item x="4"/>
        <item x="5"/>
        <item t="default"/>
      </items>
    </pivotField>
    <pivotField showAll="0"/>
    <pivotField showAll="0"/>
    <pivotField showAll="0">
      <items count="6">
        <item x="0"/>
        <item x="1"/>
        <item x="2"/>
        <item x="3"/>
        <item x="4"/>
        <item t="default"/>
      </items>
    </pivotField>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11"/>
  </colFields>
  <colItems count="4">
    <i>
      <x/>
    </i>
    <i>
      <x v="1"/>
    </i>
    <i>
      <x v="2"/>
    </i>
    <i t="grand">
      <x/>
    </i>
  </colItems>
  <dataFields count="1">
    <dataField name="Sum of Site Number" fld="0" baseField="0" baseItem="0"/>
  </dataFields>
  <chartFormats count="13">
    <chartFormat chart="8" format="2" series="1">
      <pivotArea type="data" outline="0" fieldPosition="0">
        <references count="2">
          <reference field="4294967294" count="1" selected="0">
            <x v="0"/>
          </reference>
          <reference field="11" count="1" selected="0">
            <x v="0"/>
          </reference>
        </references>
      </pivotArea>
    </chartFormat>
    <chartFormat chart="8" format="3" series="1">
      <pivotArea type="data" outline="0" fieldPosition="0">
        <references count="2">
          <reference field="4294967294" count="1" selected="0">
            <x v="0"/>
          </reference>
          <reference field="11" count="1" selected="0">
            <x v="1"/>
          </reference>
        </references>
      </pivotArea>
    </chartFormat>
    <chartFormat chart="10" format="0" series="1">
      <pivotArea type="data" outline="0" fieldPosition="0">
        <references count="2">
          <reference field="4294967294" count="1" selected="0">
            <x v="0"/>
          </reference>
          <reference field="11" count="1" selected="0">
            <x v="0"/>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2"/>
          </reference>
        </references>
      </pivotArea>
    </chartFormat>
    <chartFormat chart="22" format="5" series="1">
      <pivotArea type="data" outline="0" fieldPosition="0">
        <references count="2">
          <reference field="4294967294" count="1" selected="0">
            <x v="0"/>
          </reference>
          <reference field="11" count="1" selected="0">
            <x v="0"/>
          </reference>
        </references>
      </pivotArea>
    </chartFormat>
    <chartFormat chart="22" format="6" series="1">
      <pivotArea type="data" outline="0" fieldPosition="0">
        <references count="2">
          <reference field="4294967294" count="1" selected="0">
            <x v="0"/>
          </reference>
          <reference field="11" count="1" selected="0">
            <x v="1"/>
          </reference>
        </references>
      </pivotArea>
    </chartFormat>
    <chartFormat chart="22" format="7"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22" format="8" series="1">
      <pivotArea type="data" outline="0" fieldPosition="0">
        <references count="2">
          <reference field="4294967294" count="1" selected="0">
            <x v="0"/>
          </reference>
          <reference field="11" count="1" selected="0">
            <x v="2"/>
          </reference>
        </references>
      </pivotArea>
    </chartFormat>
    <chartFormat chart="24" format="12" series="1">
      <pivotArea type="data" outline="0" fieldPosition="0">
        <references count="2">
          <reference field="4294967294" count="1" selected="0">
            <x v="0"/>
          </reference>
          <reference field="11" count="1" selected="0">
            <x v="0"/>
          </reference>
        </references>
      </pivotArea>
    </chartFormat>
    <chartFormat chart="24" format="13" series="1">
      <pivotArea type="data" outline="0" fieldPosition="0">
        <references count="2">
          <reference field="4294967294" count="1" selected="0">
            <x v="0"/>
          </reference>
          <reference field="11" count="1" selected="0">
            <x v="1"/>
          </reference>
        </references>
      </pivotArea>
    </chartFormat>
    <chartFormat chart="24" format="1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3910A0-EF93-5A49-8887-0F770BFDC7F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D19" firstHeaderRow="1" firstDataRow="2" firstDataCol="1" rowPageCount="1" colPageCount="1"/>
  <pivotFields count="29">
    <pivotField dataField="1" showAll="0"/>
    <pivotField showAll="0">
      <items count="5">
        <item x="1"/>
        <item x="0"/>
        <item x="2"/>
        <item x="3"/>
        <item t="default"/>
      </items>
    </pivotField>
    <pivotField showAll="0">
      <items count="7">
        <item x="0"/>
        <item x="1"/>
        <item x="3"/>
        <item x="2"/>
        <item x="4"/>
        <item x="5"/>
        <item t="default"/>
      </items>
    </pivotField>
    <pivotField axis="axisRow" showAll="0">
      <items count="7">
        <item x="3"/>
        <item x="1"/>
        <item x="0"/>
        <item x="2"/>
        <item x="4"/>
        <item h="1" x="5"/>
        <item t="default"/>
      </items>
    </pivotField>
    <pivotField axis="axisPage" showAll="0">
      <items count="34">
        <item x="14"/>
        <item x="13"/>
        <item x="20"/>
        <item x="26"/>
        <item x="16"/>
        <item x="11"/>
        <item x="1"/>
        <item x="31"/>
        <item x="30"/>
        <item x="9"/>
        <item x="5"/>
        <item x="18"/>
        <item x="24"/>
        <item x="23"/>
        <item x="27"/>
        <item x="4"/>
        <item x="10"/>
        <item x="15"/>
        <item x="7"/>
        <item x="0"/>
        <item x="22"/>
        <item x="3"/>
        <item x="19"/>
        <item x="12"/>
        <item x="2"/>
        <item x="6"/>
        <item x="17"/>
        <item x="21"/>
        <item x="25"/>
        <item x="29"/>
        <item x="8"/>
        <item x="28"/>
        <item x="32"/>
        <item t="default"/>
      </items>
    </pivotField>
    <pivotField showAll="0">
      <items count="6">
        <item x="0"/>
        <item x="1"/>
        <item x="2"/>
        <item x="3"/>
        <item x="4"/>
        <item t="default"/>
      </items>
    </pivotField>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1"/>
  </colFields>
  <colItems count="3">
    <i>
      <x/>
    </i>
    <i>
      <x v="1"/>
    </i>
    <i t="grand">
      <x/>
    </i>
  </colItems>
  <pageFields count="1">
    <pageField fld="4" hier="-1"/>
  </pageFields>
  <dataFields count="1">
    <dataField name="Sum of Site Number" fld="0" baseField="0" baseItem="0"/>
  </dataFields>
  <chartFormats count="12">
    <chartFormat chart="1" format="2" series="1">
      <pivotArea type="data" outline="0" fieldPosition="0">
        <references count="2">
          <reference field="4294967294" count="1" selected="0">
            <x v="0"/>
          </reference>
          <reference field="11" count="1" selected="0">
            <x v="0"/>
          </reference>
        </references>
      </pivotArea>
    </chartFormat>
    <chartFormat chart="1" format="3" series="1">
      <pivotArea type="data" outline="0" fieldPosition="0">
        <references count="2">
          <reference field="4294967294" count="1" selected="0">
            <x v="0"/>
          </reference>
          <reference field="11" count="1" selected="0">
            <x v="1"/>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5" format="5" series="1">
      <pivotArea type="data" outline="0" fieldPosition="0">
        <references count="2">
          <reference field="4294967294" count="1" selected="0">
            <x v="0"/>
          </reference>
          <reference field="11" count="1" selected="0">
            <x v="0"/>
          </reference>
        </references>
      </pivotArea>
    </chartFormat>
    <chartFormat chart="5" format="6" series="1">
      <pivotArea type="data" outline="0" fieldPosition="0">
        <references count="2">
          <reference field="4294967294" count="1" selected="0">
            <x v="0"/>
          </reference>
          <reference field="11" count="1" selected="0">
            <x v="1"/>
          </reference>
        </references>
      </pivotArea>
    </chartFormat>
    <chartFormat chart="5" format="7"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8" format="10" series="1">
      <pivotArea type="data" outline="0" fieldPosition="0">
        <references count="2">
          <reference field="4294967294" count="1" selected="0">
            <x v="0"/>
          </reference>
          <reference field="11" count="1" selected="0">
            <x v="0"/>
          </reference>
        </references>
      </pivotArea>
    </chartFormat>
    <chartFormat chart="8" format="11" series="1">
      <pivotArea type="data" outline="0" fieldPosition="0">
        <references count="2">
          <reference field="4294967294" count="1" selected="0">
            <x v="0"/>
          </reference>
          <reference field="11" count="1" selected="0">
            <x v="1"/>
          </reference>
        </references>
      </pivotArea>
    </chartFormat>
    <chartFormat chart="8"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AB1323-9E11-8547-8DBD-ADD186DC59F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D27" firstHeaderRow="0" firstDataRow="1" firstDataCol="1"/>
  <pivotFields count="29">
    <pivotField dataField="1" showAll="0"/>
    <pivotField showAll="0">
      <items count="5">
        <item x="1"/>
        <item x="0"/>
        <item x="2"/>
        <item x="3"/>
        <item t="default"/>
      </items>
    </pivotField>
    <pivotField showAll="0">
      <items count="7">
        <item x="0"/>
        <item x="1"/>
        <item x="3"/>
        <item x="2"/>
        <item x="4"/>
        <item x="5"/>
        <item t="default"/>
      </items>
    </pivotField>
    <pivotField showAll="0"/>
    <pivotField showAll="0"/>
    <pivotField showAll="0">
      <items count="6">
        <item x="0"/>
        <item x="1"/>
        <item x="2"/>
        <item x="3"/>
        <item x="4"/>
        <item t="default"/>
      </items>
    </pivotField>
    <pivotField showAll="0"/>
    <pivotField dataField="1"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5">
        <item x="2"/>
        <item x="1"/>
        <item x="0"/>
        <item h="1" x="3"/>
        <item t="default"/>
      </items>
    </pivotField>
  </pivotFields>
  <rowFields count="1">
    <field x="28"/>
  </rowFields>
  <rowItems count="4">
    <i>
      <x/>
    </i>
    <i>
      <x v="1"/>
    </i>
    <i>
      <x v="2"/>
    </i>
    <i t="grand">
      <x/>
    </i>
  </rowItems>
  <colFields count="1">
    <field x="-2"/>
  </colFields>
  <colItems count="3">
    <i>
      <x/>
    </i>
    <i i="1">
      <x v="1"/>
    </i>
    <i i="2">
      <x v="2"/>
    </i>
  </colItems>
  <dataFields count="3">
    <dataField name="Count of Site Number" fld="0" subtotal="count" baseField="0" baseItem="0"/>
    <dataField name="Average of Capex" fld="7" subtotal="average" baseField="0" baseItem="0"/>
    <dataField name="Average of Net_Annual_Income" fld="26" subtotal="average" baseField="0" baseItem="0"/>
  </dataFields>
  <chartFormats count="12">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se_Up_Potential1" xr10:uid="{2663630A-529C-6141-9DBE-1FB3A336597A}" sourceName="Lease_Up_Potential">
  <pivotTables>
    <pivotTable tabId="16" name="PivotTable1"/>
    <pivotTable tabId="16" name="PivotTable2"/>
    <pivotTable tabId="16" name="PivotTable3"/>
    <pivotTable tabId="16" name="PivotTable4"/>
  </pivotTables>
  <data>
    <tabular pivotCacheId="1134190686">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classification1" xr10:uid="{5F97DA19-5B46-844E-880F-EF509387C67E}" sourceName="Site classification">
  <pivotTables>
    <pivotTable tabId="16" name="PivotTable1"/>
    <pivotTable tabId="16" name="PivotTable2"/>
    <pivotTable tabId="16" name="PivotTable3"/>
    <pivotTable tabId="16" name="PivotTable4"/>
  </pivotTables>
  <data>
    <tabular pivotCacheId="1134190686">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85B4D96-DD6C-D04F-A91E-7A2C0316B18E}" sourceName="State">
  <pivotTables>
    <pivotTable tabId="16" name="PivotTable1"/>
    <pivotTable tabId="16" name="PivotTable2"/>
    <pivotTable tabId="16" name="PivotTable3"/>
  </pivotTables>
  <data>
    <tabular pivotCacheId="1134190686">
      <items count="6">
        <i x="0" s="1"/>
        <i x="1" s="1"/>
        <i x="3"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se_Up_Potential 4" xr10:uid="{A5AF80E1-2040-A248-A1C4-2072E03EC129}" cache="Slicer_Lease_Up_Potential1" caption="Lease_Up_Potential" style="SlicerStyleDark4" rowHeight="251883"/>
  <slicer name="Site classification 3" xr10:uid="{E09573ED-F41F-A143-BA33-3305D6CDE4BD}" cache="Slicer_Site_classification1" caption="Site classification" style="SlicerStyleDark4" rowHeight="251883"/>
  <slicer name="State 3" xr10:uid="{1654D1B0-2556-7042-AF20-066D61039223}" cache="Slicer_State1" caption="State" style="SlicerStyleDark4"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se_Up_Potential 1" xr10:uid="{E0DD426A-E9CA-4A4E-9342-8DECC9D39896}" cache="Slicer_Lease_Up_Potential1" caption="Lease_Up_Potential" style="SlicerStyleDark4" rowHeight="251883"/>
  <slicer name="Site classification 1" xr10:uid="{7D7B1B64-9D45-6841-A695-B86EE3C73E5E}" cache="Slicer_Site_classification1" caption="Site classification" style="SlicerStyleDark4" rowHeight="251883"/>
  <slicer name="State 1" xr10:uid="{6261F699-F359-DE4F-888E-2058A880F16F}" cache="Slicer_State1" caption="State" style="SlicerStyleDark4"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ase_Up_Potential 2" xr10:uid="{DFEC7674-A558-B043-BE82-5494BD6FE293}" cache="Slicer_Lease_Up_Potential1" caption="Lease_Up_Potential" style="SlicerStyleDark4" rowHeight="251883"/>
  <slicer name="Site classification 2" xr10:uid="{CEC086FE-7DE9-324E-99BC-48DD02B14CF5}" cache="Slicer_Site_classification1" caption="Site classification" style="SlicerStyleDark4" rowHeight="251883"/>
  <slicer name="State 2" xr10:uid="{8A22C257-BBED-B34E-B5A0-C1A0F2179193}" cache="Slicer_State1" caption="State"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13B081F-15ED-BC41-8D31-9E3DD027BF78}" name="Table110" displayName="Table110" ref="A1:I425" totalsRowShown="0">
  <autoFilter ref="A1:I425" xr:uid="{46D948D1-8997-0B4D-9FCD-BF640413EE16}"/>
  <tableColumns count="9">
    <tableColumn id="1" xr3:uid="{E5504D2E-FBBB-9A4A-86BF-CC4D4E2670E6}" name="Site Number"/>
    <tableColumn id="2" xr3:uid="{32F7B181-7964-A147-9279-53907C08E6BC}" name="Site classification"/>
    <tableColumn id="3" xr3:uid="{C93622A0-6DC2-9948-A153-21FE2604C3E7}" name="State"/>
    <tableColumn id="4" xr3:uid="{6C049E4A-7E2D-4E4F-85EE-1AEDE7B935D0}" name="Tower Type"/>
    <tableColumn id="5" xr3:uid="{E1336782-38F9-DE4F-A17B-C5141542B2E6}" name="Height"/>
    <tableColumn id="6" xr3:uid="{BE31577D-A5D1-3946-B87B-3E3E0CCCFA17}" name="Year Built"/>
    <tableColumn id="7" xr3:uid="{747A4893-4F11-C74C-9878-39FB7ED99EA2}" name="Anchor Tenant Name"/>
    <tableColumn id="8" xr3:uid="{838336F5-90C4-0C4D-A844-BF801125BD96}" name="Capex" dataDxfId="0"/>
    <tableColumn id="9" xr3:uid="{3570E0A7-8134-2743-A194-2A3952EDA217}" name="Additional_Tenant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0D485D-FEC5-6A49-8246-F1B7C66BC91D}" name="Table2" displayName="Table2" ref="A1:K425" totalsRowShown="0">
  <autoFilter ref="A1:K425" xr:uid="{1C0D485D-FEC5-6A49-8246-F1B7C66BC91D}"/>
  <tableColumns count="11">
    <tableColumn id="1" xr3:uid="{6BC58675-602E-1043-B76A-80E46E0DC55E}" name="Stack_Rank"/>
    <tableColumn id="2" xr3:uid="{198C56A0-131E-DC4C-B7D3-44893CD29BD4}" name="Site Number"/>
    <tableColumn id="3" xr3:uid="{CEEC8200-CB35-0B49-886A-A08CE007E987}" name="Lease_Up_Potential"/>
    <tableColumn id="4" xr3:uid="{0ED313FB-E878-124A-918D-078AA1B136E9}" name="Leaseup_Score"/>
    <tableColumn id="5" xr3:uid="{854D1CEB-6CFE-D54F-A5E1-30CB271C85D9}" name="Site classification"/>
    <tableColumn id="6" xr3:uid="{069E794D-FACE-874C-950B-2F441FE98BC2}" name="State"/>
    <tableColumn id="7" xr3:uid="{54F6AEAB-CDB7-D843-A0E6-F416FA03DFD9}" name="Tower Type"/>
    <tableColumn id="8" xr3:uid="{9966B1BB-B8AC-6E49-9D05-A5BFBD2C12A2}" name="Height"/>
    <tableColumn id="9" xr3:uid="{F9A318DA-4555-2941-8172-632838CDD81A}" name="Year Built"/>
    <tableColumn id="10" xr3:uid="{F16345F7-AD0E-2141-BE58-77DA17D11542}" name="Anchor Tenant Name"/>
    <tableColumn id="11" xr3:uid="{95D19324-B490-2445-833B-7F0C45DC1D89}" name="Cape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052F88-FF91-A446-91FB-9434AE89521C}" name="Table3" displayName="Table3" ref="A1:I501" totalsRowShown="0">
  <autoFilter ref="A1:I501" xr:uid="{54052F88-FF91-A446-91FB-9434AE89521C}"/>
  <sortState xmlns:xlrd2="http://schemas.microsoft.com/office/spreadsheetml/2017/richdata2" ref="A2:I501">
    <sortCondition ref="D1:D501"/>
  </sortState>
  <tableColumns count="9">
    <tableColumn id="1" xr3:uid="{7391A800-66AE-704F-8155-D429DAA8EA06}" name="Site Number"/>
    <tableColumn id="2" xr3:uid="{9CF4F14A-9CFD-3D42-A729-FA6E0B069262}" name="Site classification"/>
    <tableColumn id="3" xr3:uid="{76363374-CB53-B44D-B665-35398E9F25E3}" name="State"/>
    <tableColumn id="4" xr3:uid="{103E417D-6466-EA41-9F51-F8CC3E49EA63}" name="Capex"/>
    <tableColumn id="5" xr3:uid="{F754C42A-147B-4D4B-A15E-362A9A05F5C5}" name="Anchor Tenant Starting Monthly Rent"/>
    <tableColumn id="6" xr3:uid="{42AB44F4-71F4-274F-A60D-69B32E4F4014}" name="Ground Lease Rent OPEX"/>
    <tableColumn id="7" xr3:uid="{9AF8173F-5E88-3D44-A3E5-0A9ED0B44949}" name="Net_Annual_Income"/>
    <tableColumn id="8" xr3:uid="{6C9EA7C3-A6BA-6E40-B8CC-DD916FF1ABE7}" name="Payback_Years"/>
    <tableColumn id="9" xr3:uid="{FDE209AC-685F-724A-A16B-E924E4EEBCD4}" name="Payback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DA51-856F-8244-9E2C-6DD8988896DF}">
  <dimension ref="B4:Q45"/>
  <sheetViews>
    <sheetView tabSelected="1" zoomScale="112" workbookViewId="0">
      <selection activeCell="Q6" sqref="Q6"/>
    </sheetView>
  </sheetViews>
  <sheetFormatPr baseColWidth="10" defaultRowHeight="16"/>
  <cols>
    <col min="1" max="1" width="1.1640625" style="8" customWidth="1"/>
    <col min="2" max="16384" width="10.83203125" style="8"/>
  </cols>
  <sheetData>
    <row r="4" spans="2:2">
      <c r="B4" s="8" t="s">
        <v>74</v>
      </c>
    </row>
    <row r="17" spans="15:17">
      <c r="O17" s="8" t="s">
        <v>73</v>
      </c>
    </row>
    <row r="23" spans="15:17">
      <c r="Q23" s="9"/>
    </row>
    <row r="40" spans="2:15" ht="22">
      <c r="B40" s="22" t="s">
        <v>132</v>
      </c>
      <c r="C40" s="22"/>
    </row>
    <row r="41" spans="2:15" ht="17">
      <c r="B41" s="23" t="s">
        <v>75</v>
      </c>
      <c r="C41" s="23"/>
      <c r="D41" s="23" t="s">
        <v>76</v>
      </c>
      <c r="E41" s="23"/>
      <c r="F41" s="23"/>
      <c r="G41" s="23"/>
      <c r="H41" s="23" t="s">
        <v>90</v>
      </c>
      <c r="I41" s="23"/>
      <c r="J41" s="23"/>
      <c r="K41" s="23"/>
      <c r="L41" s="23" t="s">
        <v>91</v>
      </c>
      <c r="M41" s="23"/>
      <c r="N41" s="23"/>
      <c r="O41" s="23"/>
    </row>
    <row r="42" spans="2:15" ht="49" customHeight="1">
      <c r="B42" s="24" t="s">
        <v>77</v>
      </c>
      <c r="C42" s="24"/>
      <c r="D42" s="25" t="str">
        <f>"High Lease-Up Potential covers " &amp; TEXT(Dashboard_Data!AF7,"0.0%") &amp; " (" &amp; Dashboard_Data!AF5 &amp; " of " &amp; Dashboard_Data!AF4 &amp; ") of candidate sites, concentrated in Urban (100%) and Suburban (97%) markets."</f>
        <v>High Lease-Up Potential covers 70.5% (299 of 424) of candidate sites, concentrated in Urban (100%) and Suburban (97%) markets.</v>
      </c>
      <c r="E42" s="25"/>
      <c r="F42" s="25"/>
      <c r="G42" s="25"/>
      <c r="H42" s="25" t="str">
        <f>"Opportunity: dense Urban/Suburban markets show near-universal co-location demand; Rural is a 41% split market."</f>
        <v>Opportunity: dense Urban/Suburban markets show near-universal co-location demand; Rural is a 41% split market.</v>
      </c>
      <c r="I42" s="25"/>
      <c r="J42" s="25"/>
      <c r="K42" s="25"/>
      <c r="L42" s="25" t="str">
        <f>"Fast-track sales outreach in Urban/Suburban; treat Rural as case-by-case, not a blanket push."</f>
        <v>Fast-track sales outreach in Urban/Suburban; treat Rural as case-by-case, not a blanket push.</v>
      </c>
      <c r="M42" s="25"/>
      <c r="N42" s="25"/>
      <c r="O42" s="25"/>
    </row>
    <row r="43" spans="2:15" ht="49" customHeight="1">
      <c r="B43" s="24" t="s">
        <v>81</v>
      </c>
      <c r="C43" s="24"/>
      <c r="D43" s="25" t="str">
        <f>"Dominant structure type is " &amp; Dashboard_Data!AF15 &amp; " at " &amp; TEXT(Dashboard_Data!AF16,"0.0%") &amp; " of the candidate pool."</f>
        <v>Dominant structure type is SST at 60.8% of the candidate pool.</v>
      </c>
      <c r="E43" s="25"/>
      <c r="F43" s="25"/>
      <c r="G43" s="25"/>
      <c r="H43" s="25" t="s">
        <v>134</v>
      </c>
      <c r="I43" s="25"/>
      <c r="J43" s="25"/>
      <c r="K43" s="25"/>
      <c r="L43" s="25" t="s">
        <v>133</v>
      </c>
      <c r="M43" s="25"/>
      <c r="N43" s="25"/>
      <c r="O43" s="25"/>
    </row>
    <row r="44" spans="2:15" ht="49" customHeight="1">
      <c r="B44" s="24" t="s">
        <v>92</v>
      </c>
      <c r="C44" s="24"/>
      <c r="D44" s="25" t="str">
        <f>"Avg. CAPEX per site: " &amp; TEXT(Dashboard_Data!AF8,"$#,##0") &amp; ". " &amp; TEXT(Dashboard_Data!AF10/Dashboard_Data!AF2,"0%") &amp; " of the portfolio (" &amp; Dashboard_Data!AF10 &amp; " sites) sits in the 10+ year payback tier."</f>
        <v>Avg. CAPEX per site: $71,472. 50% of the portfolio (248 sites) sits in the 10+ year payback tier.</v>
      </c>
      <c r="E44" s="25"/>
      <c r="F44" s="25"/>
      <c r="G44" s="25"/>
      <c r="H44" s="25" t="str">
        <f>"Risk: High-Potential sites average " &amp; TEXT(Dashboard_Data!AF13,"0.0") &amp; " yrs anchor-only payback vs. " &amp; TEXT(Dashboard_Data!AF14,"0.0") &amp; " yrs for Low-Potential."</f>
        <v>Risk: High-Potential sites average 12.6 yrs anchor-only payback vs. 4.9 yrs for Low-Potential.</v>
      </c>
      <c r="I44" s="25"/>
      <c r="J44" s="25"/>
      <c r="K44" s="25"/>
      <c r="L44" s="25" t="str">
        <f>"Target the 10+ year tier first: " &amp; TEXT(Dashboard_Data!AF12,"0.0%") &amp; " of it is already flagged High-Potential."</f>
        <v>Target the 10+ year tier first: 84.3% of it is already flagged High-Potential.</v>
      </c>
      <c r="M44" s="25"/>
      <c r="N44" s="25"/>
      <c r="O44" s="25"/>
    </row>
    <row r="45" spans="2:15" ht="49" customHeight="1">
      <c r="B45" s="24" t="s">
        <v>93</v>
      </c>
      <c r="C45" s="24"/>
      <c r="D45" s="25" t="str">
        <f>"Site vintage varies across the portfolio (2017–2022 build years); newer, higher-CAPEX sites skew toward the slower anchor-only payback tiers."</f>
        <v>Site vintage varies across the portfolio (2017–2022 build years); newer, higher-CAPEX sites skew toward the slower anchor-only payback tiers.</v>
      </c>
      <c r="E45" s="25"/>
      <c r="F45" s="25"/>
      <c r="G45" s="25"/>
      <c r="H45" s="25" t="str">
        <f>"Risk: newer / larger-CAPEX builds take longer to recover on anchor rent alone, before any lease-up is realized."</f>
        <v>Risk: newer / larger-CAPEX builds take longer to recover on anchor rent alone, before any lease-up is realized.</v>
      </c>
      <c r="I45" s="25"/>
      <c r="J45" s="25"/>
      <c r="K45" s="25"/>
      <c r="L45" s="25" t="str">
        <f>"Sequence lease-up sales efforts to reach newer, high-CAPEX sites early — they benefit most from a 2nd tenant."</f>
        <v>Sequence lease-up sales efforts to reach newer, high-CAPEX sites early — they benefit most from a 2nd tenant.</v>
      </c>
      <c r="M45" s="25"/>
      <c r="N45" s="25"/>
      <c r="O45" s="25"/>
    </row>
  </sheetData>
  <mergeCells count="20">
    <mergeCell ref="H43:K43"/>
    <mergeCell ref="H44:K44"/>
    <mergeCell ref="H45:K45"/>
    <mergeCell ref="L42:O42"/>
    <mergeCell ref="L43:O43"/>
    <mergeCell ref="L44:O44"/>
    <mergeCell ref="L45:O45"/>
    <mergeCell ref="B45:C45"/>
    <mergeCell ref="B44:C44"/>
    <mergeCell ref="B43:C43"/>
    <mergeCell ref="D42:G42"/>
    <mergeCell ref="D43:G43"/>
    <mergeCell ref="D44:G44"/>
    <mergeCell ref="D45:G45"/>
    <mergeCell ref="B41:C41"/>
    <mergeCell ref="D41:G41"/>
    <mergeCell ref="H41:K41"/>
    <mergeCell ref="L41:O41"/>
    <mergeCell ref="B42:C42"/>
    <mergeCell ref="H42:K4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35DC-DAF1-ED43-93DF-EDFDA7209532}">
  <dimension ref="A1:AG425"/>
  <sheetViews>
    <sheetView showGridLines="0" topLeftCell="R1" zoomScaleNormal="100" workbookViewId="0">
      <selection activeCell="AF8" sqref="AF8"/>
    </sheetView>
  </sheetViews>
  <sheetFormatPr baseColWidth="10" defaultColWidth="8.5" defaultRowHeight="16"/>
  <cols>
    <col min="1" max="1" width="2" style="13" customWidth="1"/>
    <col min="2" max="30" width="8.5" style="13"/>
    <col min="31" max="31" width="35.5" style="13" bestFit="1" customWidth="1"/>
    <col min="32" max="32" width="14.33203125" style="13" customWidth="1"/>
    <col min="33" max="16384" width="8.5" style="13"/>
  </cols>
  <sheetData>
    <row r="1" spans="1:33">
      <c r="A1" s="12" t="s">
        <v>0</v>
      </c>
      <c r="B1" s="12" t="s">
        <v>38</v>
      </c>
      <c r="C1" s="12" t="s">
        <v>1</v>
      </c>
      <c r="D1" s="12" t="s">
        <v>3</v>
      </c>
      <c r="E1" s="12" t="s">
        <v>5</v>
      </c>
      <c r="F1" s="12" t="s">
        <v>45</v>
      </c>
      <c r="G1" s="12" t="s">
        <v>46</v>
      </c>
      <c r="J1" s="12" t="s">
        <v>110</v>
      </c>
      <c r="K1" s="12" t="s">
        <v>111</v>
      </c>
      <c r="L1" s="12" t="s">
        <v>112</v>
      </c>
      <c r="N1" s="12" t="s">
        <v>113</v>
      </c>
      <c r="O1" s="12" t="s">
        <v>114</v>
      </c>
      <c r="P1" s="12" t="s">
        <v>115</v>
      </c>
      <c r="Q1" s="12" t="s">
        <v>116</v>
      </c>
      <c r="R1" s="12" t="s">
        <v>117</v>
      </c>
      <c r="S1" s="12" t="s">
        <v>114</v>
      </c>
      <c r="U1" s="12" t="s">
        <v>113</v>
      </c>
      <c r="V1" s="12" t="s">
        <v>111</v>
      </c>
      <c r="W1" s="12" t="s">
        <v>112</v>
      </c>
      <c r="Y1" s="12" t="s">
        <v>3</v>
      </c>
      <c r="Z1" s="12" t="s">
        <v>111</v>
      </c>
      <c r="AA1" s="12" t="s">
        <v>112</v>
      </c>
      <c r="AB1" s="12" t="s">
        <v>118</v>
      </c>
      <c r="AE1" s="17" t="s">
        <v>119</v>
      </c>
      <c r="AF1"/>
    </row>
    <row r="2" spans="1:33">
      <c r="A2" s="13">
        <v>405</v>
      </c>
      <c r="B2" s="13" t="s">
        <v>40</v>
      </c>
      <c r="C2" s="13" t="s">
        <v>20</v>
      </c>
      <c r="D2" s="13" t="s">
        <v>11</v>
      </c>
      <c r="E2" s="13">
        <v>2022</v>
      </c>
      <c r="F2" s="13">
        <v>20.634323809523799</v>
      </c>
      <c r="G2" s="13" t="s">
        <v>48</v>
      </c>
      <c r="J2" s="13" t="s">
        <v>16</v>
      </c>
      <c r="K2" s="13">
        <f>COUNTIFS($C$2:$C$425,$J2,$B$2:$B$425,"High Lease Up Potential")</f>
        <v>83</v>
      </c>
      <c r="L2" s="13">
        <f>COUNTIFS($C$2:$C$425,$J2,$B$2:$B$425,"Low Lease Up Potential")</f>
        <v>120</v>
      </c>
      <c r="N2" s="13" t="s">
        <v>49</v>
      </c>
      <c r="O2" s="13">
        <v>157</v>
      </c>
      <c r="P2" s="14">
        <v>0.314</v>
      </c>
      <c r="Q2" s="13" t="s">
        <v>40</v>
      </c>
      <c r="R2" s="15">
        <f>AVERAGEIFS($F$2:$F$425,$B$2:$B$425,$Q2)</f>
        <v>12.641557192104097</v>
      </c>
      <c r="S2" s="13">
        <f>COUNTIFS($B$2:$B$425,$Q2)</f>
        <v>299</v>
      </c>
      <c r="U2" s="13" t="s">
        <v>49</v>
      </c>
      <c r="V2" s="13">
        <f>COUNTIFS($B$2:$B$425,"High Lease Up Potential",$G$2:$G$425,$U2)</f>
        <v>47</v>
      </c>
      <c r="W2" s="13">
        <f>COUNTIFS($B$2:$B$425,"Low Lease Up Potential",$G$2:$G$425,$U2)</f>
        <v>81</v>
      </c>
      <c r="Y2" s="13" t="s">
        <v>11</v>
      </c>
      <c r="Z2" s="13">
        <f>COUNTIFS($D$2:$D$425,$Y2,$B$2:$B$425,"High Lease Up Potential")</f>
        <v>195</v>
      </c>
      <c r="AA2" s="13">
        <f>COUNTIFS($D$2:$D$425,$Y2,$B$2:$B$425,"Low Lease Up Potential")</f>
        <v>63</v>
      </c>
      <c r="AB2" s="13">
        <f>Z2+AA2</f>
        <v>258</v>
      </c>
      <c r="AE2" t="s">
        <v>131</v>
      </c>
      <c r="AF2">
        <v>500</v>
      </c>
    </row>
    <row r="3" spans="1:33">
      <c r="A3" s="13">
        <v>233</v>
      </c>
      <c r="B3" s="13" t="s">
        <v>40</v>
      </c>
      <c r="C3" s="13" t="s">
        <v>20</v>
      </c>
      <c r="D3" s="13" t="s">
        <v>11</v>
      </c>
      <c r="E3" s="13">
        <v>2019</v>
      </c>
      <c r="F3" s="13">
        <v>16.8721966666666</v>
      </c>
      <c r="G3" s="13" t="s">
        <v>48</v>
      </c>
      <c r="J3" s="13" t="s">
        <v>9</v>
      </c>
      <c r="K3" s="13">
        <f>COUNTIFS($C$2:$C$425,$J3,$B$2:$B$425,"High Lease Up Potential")</f>
        <v>179</v>
      </c>
      <c r="L3" s="13">
        <f>COUNTIFS($C$2:$C$425,$J3,$B$2:$B$425,"Low Lease Up Potential")</f>
        <v>5</v>
      </c>
      <c r="N3" s="13" t="s">
        <v>47</v>
      </c>
      <c r="O3" s="13">
        <v>95</v>
      </c>
      <c r="P3" s="14">
        <v>0.19</v>
      </c>
      <c r="Q3" s="13" t="s">
        <v>41</v>
      </c>
      <c r="R3" s="15">
        <f>AVERAGEIFS($F$2:$F$425,$B$2:$B$425,$Q3)</f>
        <v>4.9435001040931335</v>
      </c>
      <c r="S3" s="13">
        <f>COUNTIFS($B$2:$B$425,$Q3)</f>
        <v>125</v>
      </c>
      <c r="U3" s="13" t="s">
        <v>47</v>
      </c>
      <c r="V3" s="13">
        <f>COUNTIFS($B$2:$B$425,"High Lease Up Potential",$G$2:$G$425,$U3)</f>
        <v>43</v>
      </c>
      <c r="W3" s="13">
        <f>COUNTIFS($B$2:$B$425,"Low Lease Up Potential",$G$2:$G$425,$U3)</f>
        <v>39</v>
      </c>
      <c r="Y3" s="13" t="s">
        <v>13</v>
      </c>
      <c r="Z3" s="13">
        <f>COUNTIFS($D$2:$D$425,$Y3,$B$2:$B$425,"High Lease Up Potential")</f>
        <v>97</v>
      </c>
      <c r="AA3" s="13">
        <f>COUNTIFS($D$2:$D$425,$Y3,$B$2:$B$425,"Low Lease Up Potential")</f>
        <v>52</v>
      </c>
      <c r="AB3" s="13">
        <f>Z3+AA3</f>
        <v>149</v>
      </c>
      <c r="AE3" t="s">
        <v>120</v>
      </c>
      <c r="AF3">
        <f>AF2-AF4</f>
        <v>76</v>
      </c>
    </row>
    <row r="4" spans="1:33">
      <c r="A4" s="13">
        <v>403</v>
      </c>
      <c r="B4" s="13" t="s">
        <v>40</v>
      </c>
      <c r="C4" s="13" t="s">
        <v>20</v>
      </c>
      <c r="D4" s="13" t="s">
        <v>11</v>
      </c>
      <c r="E4" s="13">
        <v>2021</v>
      </c>
      <c r="F4" s="13">
        <v>15.1328695652173</v>
      </c>
      <c r="G4" s="13" t="s">
        <v>48</v>
      </c>
      <c r="J4" s="13" t="s">
        <v>20</v>
      </c>
      <c r="K4" s="13">
        <f>COUNTIFS($C$2:$C$425,$J4,$B$2:$B$425,"High Lease Up Potential")</f>
        <v>37</v>
      </c>
      <c r="L4" s="13">
        <f>COUNTIFS($C$2:$C$425,$J4,$B$2:$B$425,"Low Lease Up Potential")</f>
        <v>0</v>
      </c>
      <c r="N4" s="13" t="s">
        <v>48</v>
      </c>
      <c r="O4" s="13">
        <v>248</v>
      </c>
      <c r="P4" s="14">
        <v>0.496</v>
      </c>
      <c r="U4" s="13" t="s">
        <v>48</v>
      </c>
      <c r="V4" s="13">
        <f>COUNTIFS($B$2:$B$425,"High Lease Up Potential",$G$2:$G$425,$U4)</f>
        <v>209</v>
      </c>
      <c r="W4" s="13">
        <f>COUNTIFS($B$2:$B$425,"Low Lease Up Potential",$G$2:$G$425,$U4)</f>
        <v>5</v>
      </c>
      <c r="Y4" s="13" t="s">
        <v>24</v>
      </c>
      <c r="Z4" s="13">
        <f>COUNTIFS($D$2:$D$425,$Y4,$B$2:$B$425,"High Lease Up Potential")</f>
        <v>3</v>
      </c>
      <c r="AA4" s="13">
        <f>COUNTIFS($D$2:$D$425,$Y4,$B$2:$B$425,"Low Lease Up Potential")</f>
        <v>7</v>
      </c>
      <c r="AB4" s="13">
        <f>Z4+AA4</f>
        <v>10</v>
      </c>
      <c r="AE4" t="s">
        <v>121</v>
      </c>
      <c r="AF4">
        <v>424</v>
      </c>
    </row>
    <row r="5" spans="1:33">
      <c r="A5" s="13">
        <v>486</v>
      </c>
      <c r="B5" s="13" t="s">
        <v>40</v>
      </c>
      <c r="C5" s="13" t="s">
        <v>20</v>
      </c>
      <c r="D5" s="13" t="s">
        <v>13</v>
      </c>
      <c r="E5" s="13">
        <v>2022</v>
      </c>
      <c r="F5" s="13">
        <v>14.610737179487099</v>
      </c>
      <c r="G5" s="13" t="s">
        <v>48</v>
      </c>
      <c r="Y5" s="13" t="s">
        <v>21</v>
      </c>
      <c r="Z5" s="13">
        <f>COUNTIFS($D$2:$D$425,$Y5,$B$2:$B$425,"High Lease Up Potential")</f>
        <v>3</v>
      </c>
      <c r="AA5" s="13">
        <f>COUNTIFS($D$2:$D$425,$Y5,$B$2:$B$425,"Low Lease Up Potential")</f>
        <v>2</v>
      </c>
      <c r="AB5" s="13">
        <f>Z5+AA5</f>
        <v>5</v>
      </c>
      <c r="AE5" t="s">
        <v>51</v>
      </c>
      <c r="AF5">
        <v>299</v>
      </c>
    </row>
    <row r="6" spans="1:33">
      <c r="A6" s="13">
        <v>190</v>
      </c>
      <c r="B6" s="13" t="s">
        <v>40</v>
      </c>
      <c r="C6" s="13" t="s">
        <v>20</v>
      </c>
      <c r="D6" s="13" t="s">
        <v>13</v>
      </c>
      <c r="E6" s="13">
        <v>2019</v>
      </c>
      <c r="F6" s="13">
        <v>11.189251282051201</v>
      </c>
      <c r="G6" s="13" t="s">
        <v>48</v>
      </c>
      <c r="Y6" s="13" t="s">
        <v>29</v>
      </c>
      <c r="Z6" s="13">
        <f>COUNTIFS($D$2:$D$425,$Y6,$B$2:$B$425,"High Lease Up Potential")</f>
        <v>1</v>
      </c>
      <c r="AA6" s="13">
        <f>COUNTIFS($D$2:$D$425,$Y6,$B$2:$B$425,"Low Lease Up Potential")</f>
        <v>1</v>
      </c>
      <c r="AB6" s="13">
        <f>Z6+AA6</f>
        <v>2</v>
      </c>
      <c r="AE6" t="s">
        <v>52</v>
      </c>
      <c r="AF6">
        <v>125</v>
      </c>
    </row>
    <row r="7" spans="1:33">
      <c r="A7" s="13">
        <v>130</v>
      </c>
      <c r="B7" s="13" t="s">
        <v>40</v>
      </c>
      <c r="C7" s="13" t="s">
        <v>20</v>
      </c>
      <c r="D7" s="13" t="s">
        <v>11</v>
      </c>
      <c r="E7" s="13">
        <v>2019</v>
      </c>
      <c r="F7" s="13">
        <v>13.2419027777777</v>
      </c>
      <c r="G7" s="13" t="s">
        <v>48</v>
      </c>
      <c r="AE7" t="s">
        <v>53</v>
      </c>
      <c r="AF7" s="18">
        <f>AF5/AF4</f>
        <v>0.70518867924528306</v>
      </c>
    </row>
    <row r="8" spans="1:33">
      <c r="A8" s="13">
        <v>359</v>
      </c>
      <c r="B8" s="13" t="s">
        <v>40</v>
      </c>
      <c r="C8" s="13" t="s">
        <v>20</v>
      </c>
      <c r="D8" s="13" t="s">
        <v>11</v>
      </c>
      <c r="E8" s="13">
        <v>2021</v>
      </c>
      <c r="F8" s="13">
        <v>18.365894736842101</v>
      </c>
      <c r="G8" s="13" t="s">
        <v>48</v>
      </c>
      <c r="AE8" t="s">
        <v>122</v>
      </c>
      <c r="AF8" s="19">
        <v>71472.432099999904</v>
      </c>
    </row>
    <row r="9" spans="1:33">
      <c r="A9" s="13">
        <v>236</v>
      </c>
      <c r="B9" s="13" t="s">
        <v>40</v>
      </c>
      <c r="C9" s="13" t="s">
        <v>20</v>
      </c>
      <c r="D9" s="13" t="s">
        <v>11</v>
      </c>
      <c r="E9" s="13">
        <v>2019</v>
      </c>
      <c r="F9" s="13">
        <v>16.299666666666599</v>
      </c>
      <c r="G9" s="13" t="s">
        <v>48</v>
      </c>
      <c r="AE9" t="s">
        <v>123</v>
      </c>
      <c r="AF9" s="19">
        <v>35736216.049999952</v>
      </c>
    </row>
    <row r="10" spans="1:33">
      <c r="A10" s="13">
        <v>271</v>
      </c>
      <c r="B10" s="13" t="s">
        <v>40</v>
      </c>
      <c r="C10" s="13" t="s">
        <v>20</v>
      </c>
      <c r="D10" s="13" t="s">
        <v>11</v>
      </c>
      <c r="E10" s="13">
        <v>2020</v>
      </c>
      <c r="F10" s="13">
        <v>13.8302884615384</v>
      </c>
      <c r="G10" s="13" t="s">
        <v>48</v>
      </c>
      <c r="AE10" t="s">
        <v>124</v>
      </c>
      <c r="AF10">
        <v>248</v>
      </c>
      <c r="AG10" s="16">
        <f>AF10/AF2</f>
        <v>0.496</v>
      </c>
    </row>
    <row r="11" spans="1:33">
      <c r="A11" s="13">
        <v>133</v>
      </c>
      <c r="B11" s="13" t="s">
        <v>40</v>
      </c>
      <c r="C11" s="13" t="s">
        <v>20</v>
      </c>
      <c r="D11" s="13" t="s">
        <v>11</v>
      </c>
      <c r="E11" s="13">
        <v>2019</v>
      </c>
      <c r="F11" s="13">
        <v>18.935691228070102</v>
      </c>
      <c r="G11" s="13" t="s">
        <v>48</v>
      </c>
      <c r="AE11" t="s">
        <v>125</v>
      </c>
      <c r="AF11">
        <f>V4</f>
        <v>209</v>
      </c>
    </row>
    <row r="12" spans="1:33">
      <c r="A12" s="13">
        <v>252</v>
      </c>
      <c r="B12" s="13" t="s">
        <v>40</v>
      </c>
      <c r="C12" s="13" t="s">
        <v>20</v>
      </c>
      <c r="D12" s="13" t="s">
        <v>11</v>
      </c>
      <c r="E12" s="13">
        <v>2019</v>
      </c>
      <c r="F12" s="13">
        <v>15.500168</v>
      </c>
      <c r="G12" s="13" t="s">
        <v>48</v>
      </c>
      <c r="AE12" t="s">
        <v>126</v>
      </c>
      <c r="AF12" s="21">
        <f>AF11/AF10</f>
        <v>0.842741935483871</v>
      </c>
    </row>
    <row r="13" spans="1:33">
      <c r="A13" s="13">
        <v>500</v>
      </c>
      <c r="B13" s="13" t="s">
        <v>40</v>
      </c>
      <c r="C13" s="13" t="s">
        <v>20</v>
      </c>
      <c r="D13" s="13" t="s">
        <v>11</v>
      </c>
      <c r="E13" s="13">
        <v>2022</v>
      </c>
      <c r="F13" s="13">
        <v>57.801190476190399</v>
      </c>
      <c r="G13" s="13" t="s">
        <v>48</v>
      </c>
      <c r="AE13" t="s">
        <v>127</v>
      </c>
      <c r="AF13" s="20">
        <f>R2</f>
        <v>12.641557192104097</v>
      </c>
    </row>
    <row r="14" spans="1:33">
      <c r="A14" s="13">
        <v>426</v>
      </c>
      <c r="B14" s="13" t="s">
        <v>40</v>
      </c>
      <c r="C14" s="13" t="s">
        <v>20</v>
      </c>
      <c r="D14" s="13" t="s">
        <v>11</v>
      </c>
      <c r="E14" s="13">
        <v>2022</v>
      </c>
      <c r="F14" s="13">
        <v>59.485142857142797</v>
      </c>
      <c r="G14" s="13" t="s">
        <v>48</v>
      </c>
      <c r="AE14" t="s">
        <v>128</v>
      </c>
      <c r="AF14" s="20">
        <f>R3</f>
        <v>4.9435001040931335</v>
      </c>
    </row>
    <row r="15" spans="1:33">
      <c r="A15" s="13">
        <v>291</v>
      </c>
      <c r="B15" s="13" t="s">
        <v>40</v>
      </c>
      <c r="C15" s="13" t="s">
        <v>20</v>
      </c>
      <c r="D15" s="13" t="s">
        <v>11</v>
      </c>
      <c r="E15" s="13">
        <v>2021</v>
      </c>
      <c r="F15" s="13">
        <v>21.66</v>
      </c>
      <c r="G15" s="13" t="s">
        <v>48</v>
      </c>
      <c r="AE15" t="s">
        <v>129</v>
      </c>
      <c r="AF15" t="str">
        <f>INDEX(Y2:Y6,MATCH(MAX(AB2:AB6),AB2:AB6,0))</f>
        <v>SST</v>
      </c>
    </row>
    <row r="16" spans="1:33">
      <c r="A16" s="13">
        <v>139</v>
      </c>
      <c r="B16" s="13" t="s">
        <v>40</v>
      </c>
      <c r="C16" s="13" t="s">
        <v>20</v>
      </c>
      <c r="D16" s="13" t="s">
        <v>11</v>
      </c>
      <c r="E16" s="13">
        <v>2019</v>
      </c>
      <c r="F16" s="13">
        <v>12.978575757575699</v>
      </c>
      <c r="G16" s="13" t="s">
        <v>48</v>
      </c>
      <c r="AE16" t="s">
        <v>130</v>
      </c>
      <c r="AF16" s="18">
        <f>MAX(AB2:AB6)/AF4</f>
        <v>0.60849056603773588</v>
      </c>
    </row>
    <row r="17" spans="1:7">
      <c r="A17" s="13">
        <v>496</v>
      </c>
      <c r="B17" s="13" t="s">
        <v>40</v>
      </c>
      <c r="C17" s="13" t="s">
        <v>9</v>
      </c>
      <c r="D17" s="13" t="s">
        <v>11</v>
      </c>
      <c r="E17" s="13">
        <v>2022</v>
      </c>
      <c r="F17" s="13">
        <v>14.7048611111111</v>
      </c>
      <c r="G17" s="13" t="s">
        <v>48</v>
      </c>
    </row>
    <row r="18" spans="1:7">
      <c r="A18" s="13">
        <v>310</v>
      </c>
      <c r="B18" s="13" t="s">
        <v>40</v>
      </c>
      <c r="C18" s="13" t="s">
        <v>9</v>
      </c>
      <c r="D18" s="13" t="s">
        <v>11</v>
      </c>
      <c r="E18" s="13">
        <v>2021</v>
      </c>
      <c r="F18" s="13">
        <v>15.138166666666599</v>
      </c>
      <c r="G18" s="13" t="s">
        <v>48</v>
      </c>
    </row>
    <row r="19" spans="1:7">
      <c r="A19" s="13">
        <v>345</v>
      </c>
      <c r="B19" s="13" t="s">
        <v>40</v>
      </c>
      <c r="C19" s="13" t="s">
        <v>9</v>
      </c>
      <c r="D19" s="13" t="s">
        <v>11</v>
      </c>
      <c r="E19" s="13">
        <v>2021</v>
      </c>
      <c r="F19" s="13">
        <v>17.615047619047601</v>
      </c>
      <c r="G19" s="13" t="s">
        <v>48</v>
      </c>
    </row>
    <row r="20" spans="1:7">
      <c r="A20" s="13">
        <v>388</v>
      </c>
      <c r="B20" s="13" t="s">
        <v>40</v>
      </c>
      <c r="C20" s="13" t="s">
        <v>9</v>
      </c>
      <c r="D20" s="13" t="s">
        <v>11</v>
      </c>
      <c r="E20" s="13">
        <v>2021</v>
      </c>
      <c r="F20" s="13">
        <v>15.188319999999999</v>
      </c>
      <c r="G20" s="13" t="s">
        <v>48</v>
      </c>
    </row>
    <row r="21" spans="1:7">
      <c r="A21" s="13">
        <v>425</v>
      </c>
      <c r="B21" s="13" t="s">
        <v>40</v>
      </c>
      <c r="C21" s="13" t="s">
        <v>20</v>
      </c>
      <c r="D21" s="13" t="s">
        <v>13</v>
      </c>
      <c r="E21" s="13">
        <v>2022</v>
      </c>
      <c r="F21" s="13">
        <v>17.17285</v>
      </c>
      <c r="G21" s="13" t="s">
        <v>48</v>
      </c>
    </row>
    <row r="22" spans="1:7">
      <c r="A22" s="13">
        <v>449</v>
      </c>
      <c r="B22" s="13" t="s">
        <v>40</v>
      </c>
      <c r="C22" s="13" t="s">
        <v>9</v>
      </c>
      <c r="D22" s="13" t="s">
        <v>11</v>
      </c>
      <c r="E22" s="13">
        <v>2022</v>
      </c>
      <c r="F22" s="13">
        <v>15.279235714285701</v>
      </c>
      <c r="G22" s="13" t="s">
        <v>48</v>
      </c>
    </row>
    <row r="23" spans="1:7">
      <c r="A23" s="13">
        <v>262</v>
      </c>
      <c r="B23" s="13" t="s">
        <v>40</v>
      </c>
      <c r="C23" s="13" t="s">
        <v>20</v>
      </c>
      <c r="D23" s="13" t="s">
        <v>11</v>
      </c>
      <c r="E23" s="13">
        <v>2020</v>
      </c>
      <c r="F23" s="13">
        <v>21.7879166666666</v>
      </c>
      <c r="G23" s="13" t="s">
        <v>48</v>
      </c>
    </row>
    <row r="24" spans="1:7">
      <c r="A24" s="13">
        <v>259</v>
      </c>
      <c r="B24" s="13" t="s">
        <v>40</v>
      </c>
      <c r="C24" s="13" t="s">
        <v>20</v>
      </c>
      <c r="D24" s="13" t="s">
        <v>11</v>
      </c>
      <c r="E24" s="13">
        <v>2020</v>
      </c>
      <c r="F24" s="13">
        <v>20.385606060606001</v>
      </c>
      <c r="G24" s="13" t="s">
        <v>48</v>
      </c>
    </row>
    <row r="25" spans="1:7">
      <c r="A25" s="13">
        <v>109</v>
      </c>
      <c r="B25" s="13" t="s">
        <v>40</v>
      </c>
      <c r="C25" s="13" t="s">
        <v>20</v>
      </c>
      <c r="D25" s="13" t="s">
        <v>11</v>
      </c>
      <c r="E25" s="13">
        <v>2018</v>
      </c>
      <c r="F25" s="13">
        <v>14.4893894736842</v>
      </c>
      <c r="G25" s="13" t="s">
        <v>48</v>
      </c>
    </row>
    <row r="26" spans="1:7">
      <c r="A26" s="13">
        <v>67</v>
      </c>
      <c r="B26" s="13" t="s">
        <v>40</v>
      </c>
      <c r="C26" s="13" t="s">
        <v>20</v>
      </c>
      <c r="D26" s="13" t="s">
        <v>11</v>
      </c>
      <c r="E26" s="13">
        <v>2018</v>
      </c>
      <c r="F26" s="13">
        <v>14.898315151515099</v>
      </c>
      <c r="G26" s="13" t="s">
        <v>48</v>
      </c>
    </row>
    <row r="27" spans="1:7">
      <c r="A27" s="13">
        <v>58</v>
      </c>
      <c r="B27" s="13" t="s">
        <v>40</v>
      </c>
      <c r="C27" s="13" t="s">
        <v>20</v>
      </c>
      <c r="D27" s="13" t="s">
        <v>11</v>
      </c>
      <c r="E27" s="13">
        <v>2018</v>
      </c>
      <c r="F27" s="13">
        <v>14.3977579710144</v>
      </c>
      <c r="G27" s="13" t="s">
        <v>48</v>
      </c>
    </row>
    <row r="28" spans="1:7">
      <c r="A28" s="13">
        <v>4</v>
      </c>
      <c r="B28" s="13" t="s">
        <v>40</v>
      </c>
      <c r="C28" s="13" t="s">
        <v>20</v>
      </c>
      <c r="D28" s="13" t="s">
        <v>11</v>
      </c>
      <c r="E28" s="13">
        <v>2017</v>
      </c>
      <c r="F28" s="13">
        <v>15.359420289855001</v>
      </c>
      <c r="G28" s="13" t="s">
        <v>48</v>
      </c>
    </row>
    <row r="29" spans="1:7">
      <c r="A29" s="13">
        <v>173</v>
      </c>
      <c r="B29" s="13" t="s">
        <v>40</v>
      </c>
      <c r="C29" s="13" t="s">
        <v>20</v>
      </c>
      <c r="D29" s="13" t="s">
        <v>11</v>
      </c>
      <c r="E29" s="13">
        <v>2019</v>
      </c>
      <c r="F29" s="13">
        <v>35.323696969696897</v>
      </c>
      <c r="G29" s="13" t="s">
        <v>48</v>
      </c>
    </row>
    <row r="30" spans="1:7">
      <c r="A30" s="13">
        <v>372</v>
      </c>
      <c r="B30" s="13" t="s">
        <v>40</v>
      </c>
      <c r="C30" s="13" t="s">
        <v>20</v>
      </c>
      <c r="D30" s="13" t="s">
        <v>24</v>
      </c>
      <c r="E30" s="13">
        <v>2021</v>
      </c>
      <c r="F30" s="13">
        <v>15.6615</v>
      </c>
      <c r="G30" s="13" t="s">
        <v>48</v>
      </c>
    </row>
    <row r="31" spans="1:7">
      <c r="A31" s="13">
        <v>129</v>
      </c>
      <c r="B31" s="13" t="s">
        <v>40</v>
      </c>
      <c r="C31" s="13" t="s">
        <v>9</v>
      </c>
      <c r="D31" s="13" t="s">
        <v>11</v>
      </c>
      <c r="E31" s="13">
        <v>2019</v>
      </c>
      <c r="F31" s="13">
        <v>15.0772912280701</v>
      </c>
      <c r="G31" s="13" t="s">
        <v>48</v>
      </c>
    </row>
    <row r="32" spans="1:7">
      <c r="A32" s="13">
        <v>212</v>
      </c>
      <c r="B32" s="13" t="s">
        <v>40</v>
      </c>
      <c r="C32" s="13" t="s">
        <v>9</v>
      </c>
      <c r="D32" s="13" t="s">
        <v>11</v>
      </c>
      <c r="E32" s="13">
        <v>2019</v>
      </c>
      <c r="F32" s="13">
        <v>10.826750000000001</v>
      </c>
      <c r="G32" s="13" t="s">
        <v>48</v>
      </c>
    </row>
    <row r="33" spans="1:7">
      <c r="A33" s="13">
        <v>75</v>
      </c>
      <c r="B33" s="13" t="s">
        <v>40</v>
      </c>
      <c r="C33" s="13" t="s">
        <v>20</v>
      </c>
      <c r="D33" s="13" t="s">
        <v>11</v>
      </c>
      <c r="E33" s="13">
        <v>2018</v>
      </c>
      <c r="F33" s="13">
        <v>15.9790766666666</v>
      </c>
      <c r="G33" s="13" t="s">
        <v>48</v>
      </c>
    </row>
    <row r="34" spans="1:7">
      <c r="A34" s="13">
        <v>176</v>
      </c>
      <c r="B34" s="13" t="s">
        <v>40</v>
      </c>
      <c r="C34" s="13" t="s">
        <v>9</v>
      </c>
      <c r="D34" s="13" t="s">
        <v>11</v>
      </c>
      <c r="E34" s="13">
        <v>2019</v>
      </c>
      <c r="F34" s="13">
        <v>10.662893333333299</v>
      </c>
      <c r="G34" s="13" t="s">
        <v>48</v>
      </c>
    </row>
    <row r="35" spans="1:7">
      <c r="A35" s="13">
        <v>475</v>
      </c>
      <c r="B35" s="13" t="s">
        <v>40</v>
      </c>
      <c r="C35" s="13" t="s">
        <v>9</v>
      </c>
      <c r="D35" s="13" t="s">
        <v>11</v>
      </c>
      <c r="E35" s="13">
        <v>2022</v>
      </c>
      <c r="F35" s="13">
        <v>19.916911764705802</v>
      </c>
      <c r="G35" s="13" t="s">
        <v>48</v>
      </c>
    </row>
    <row r="36" spans="1:7">
      <c r="A36" s="13">
        <v>225</v>
      </c>
      <c r="B36" s="13" t="s">
        <v>40</v>
      </c>
      <c r="C36" s="13" t="s">
        <v>20</v>
      </c>
      <c r="D36" s="13" t="s">
        <v>13</v>
      </c>
      <c r="E36" s="13">
        <v>2019</v>
      </c>
      <c r="F36" s="13">
        <v>10.0143771428571</v>
      </c>
      <c r="G36" s="13" t="s">
        <v>48</v>
      </c>
    </row>
    <row r="37" spans="1:7">
      <c r="A37" s="13">
        <v>235</v>
      </c>
      <c r="B37" s="13" t="s">
        <v>40</v>
      </c>
      <c r="C37" s="13" t="s">
        <v>9</v>
      </c>
      <c r="D37" s="13" t="s">
        <v>11</v>
      </c>
      <c r="E37" s="13">
        <v>2019</v>
      </c>
      <c r="F37" s="13">
        <v>15.998451515151499</v>
      </c>
      <c r="G37" s="13" t="s">
        <v>48</v>
      </c>
    </row>
    <row r="38" spans="1:7">
      <c r="A38" s="13">
        <v>393</v>
      </c>
      <c r="B38" s="13" t="s">
        <v>40</v>
      </c>
      <c r="C38" s="13" t="s">
        <v>20</v>
      </c>
      <c r="D38" s="13" t="s">
        <v>13</v>
      </c>
      <c r="E38" s="13">
        <v>2021</v>
      </c>
      <c r="F38" s="13">
        <v>19.040842105263099</v>
      </c>
      <c r="G38" s="13" t="s">
        <v>48</v>
      </c>
    </row>
    <row r="39" spans="1:7">
      <c r="A39" s="13">
        <v>41</v>
      </c>
      <c r="B39" s="13" t="s">
        <v>40</v>
      </c>
      <c r="C39" s="13" t="s">
        <v>20</v>
      </c>
      <c r="D39" s="13" t="s">
        <v>11</v>
      </c>
      <c r="E39" s="13">
        <v>2018</v>
      </c>
      <c r="F39" s="13">
        <v>15.9217916666666</v>
      </c>
      <c r="G39" s="13" t="s">
        <v>48</v>
      </c>
    </row>
    <row r="40" spans="1:7">
      <c r="A40" s="13">
        <v>172</v>
      </c>
      <c r="B40" s="13" t="s">
        <v>40</v>
      </c>
      <c r="C40" s="13" t="s">
        <v>9</v>
      </c>
      <c r="D40" s="13" t="s">
        <v>11</v>
      </c>
      <c r="E40" s="13">
        <v>2019</v>
      </c>
      <c r="F40" s="13">
        <v>12.8655733333333</v>
      </c>
      <c r="G40" s="13" t="s">
        <v>48</v>
      </c>
    </row>
    <row r="41" spans="1:7">
      <c r="A41" s="13">
        <v>316</v>
      </c>
      <c r="B41" s="13" t="s">
        <v>40</v>
      </c>
      <c r="C41" s="13" t="s">
        <v>9</v>
      </c>
      <c r="D41" s="13" t="s">
        <v>11</v>
      </c>
      <c r="E41" s="13">
        <v>2021</v>
      </c>
      <c r="F41" s="13">
        <v>16.8756666666666</v>
      </c>
      <c r="G41" s="13" t="s">
        <v>48</v>
      </c>
    </row>
    <row r="42" spans="1:7">
      <c r="A42" s="13">
        <v>335</v>
      </c>
      <c r="B42" s="13" t="s">
        <v>40</v>
      </c>
      <c r="C42" s="13" t="s">
        <v>9</v>
      </c>
      <c r="D42" s="13" t="s">
        <v>11</v>
      </c>
      <c r="E42" s="13">
        <v>2021</v>
      </c>
      <c r="F42" s="13">
        <v>22.463789473684201</v>
      </c>
      <c r="G42" s="13" t="s">
        <v>48</v>
      </c>
    </row>
    <row r="43" spans="1:7">
      <c r="A43" s="13">
        <v>43</v>
      </c>
      <c r="B43" s="13" t="s">
        <v>40</v>
      </c>
      <c r="C43" s="13" t="s">
        <v>20</v>
      </c>
      <c r="D43" s="13" t="s">
        <v>13</v>
      </c>
      <c r="E43" s="13">
        <v>2018</v>
      </c>
      <c r="F43" s="13">
        <v>14.4298</v>
      </c>
      <c r="G43" s="13" t="s">
        <v>48</v>
      </c>
    </row>
    <row r="44" spans="1:7">
      <c r="A44" s="13">
        <v>415</v>
      </c>
      <c r="B44" s="13" t="s">
        <v>40</v>
      </c>
      <c r="C44" s="13" t="s">
        <v>9</v>
      </c>
      <c r="D44" s="13" t="s">
        <v>11</v>
      </c>
      <c r="E44" s="13">
        <v>2022</v>
      </c>
      <c r="F44" s="13">
        <v>20.247970588235201</v>
      </c>
      <c r="G44" s="13" t="s">
        <v>48</v>
      </c>
    </row>
    <row r="45" spans="1:7">
      <c r="A45" s="13">
        <v>347</v>
      </c>
      <c r="B45" s="13" t="s">
        <v>40</v>
      </c>
      <c r="C45" s="13" t="s">
        <v>9</v>
      </c>
      <c r="D45" s="13" t="s">
        <v>11</v>
      </c>
      <c r="E45" s="13">
        <v>2021</v>
      </c>
      <c r="F45" s="13">
        <v>14.497</v>
      </c>
      <c r="G45" s="13" t="s">
        <v>48</v>
      </c>
    </row>
    <row r="46" spans="1:7">
      <c r="A46" s="13">
        <v>400</v>
      </c>
      <c r="B46" s="13" t="s">
        <v>40</v>
      </c>
      <c r="C46" s="13" t="s">
        <v>9</v>
      </c>
      <c r="D46" s="13" t="s">
        <v>11</v>
      </c>
      <c r="E46" s="13">
        <v>2021</v>
      </c>
      <c r="F46" s="13">
        <v>13.395538461538401</v>
      </c>
      <c r="G46" s="13" t="s">
        <v>48</v>
      </c>
    </row>
    <row r="47" spans="1:7">
      <c r="A47" s="13">
        <v>284</v>
      </c>
      <c r="B47" s="13" t="s">
        <v>40</v>
      </c>
      <c r="C47" s="13" t="s">
        <v>9</v>
      </c>
      <c r="D47" s="13" t="s">
        <v>11</v>
      </c>
      <c r="E47" s="13">
        <v>2021</v>
      </c>
      <c r="F47" s="13">
        <v>13.9340693333333</v>
      </c>
      <c r="G47" s="13" t="s">
        <v>48</v>
      </c>
    </row>
    <row r="48" spans="1:7">
      <c r="A48" s="13">
        <v>296</v>
      </c>
      <c r="B48" s="13" t="s">
        <v>40</v>
      </c>
      <c r="C48" s="13" t="s">
        <v>9</v>
      </c>
      <c r="D48" s="13" t="s">
        <v>11</v>
      </c>
      <c r="E48" s="13">
        <v>2021</v>
      </c>
      <c r="F48" s="13">
        <v>18.6644210526315</v>
      </c>
      <c r="G48" s="13" t="s">
        <v>48</v>
      </c>
    </row>
    <row r="49" spans="1:7">
      <c r="A49" s="13">
        <v>456</v>
      </c>
      <c r="B49" s="13" t="s">
        <v>40</v>
      </c>
      <c r="C49" s="13" t="s">
        <v>9</v>
      </c>
      <c r="D49" s="13" t="s">
        <v>13</v>
      </c>
      <c r="E49" s="13">
        <v>2022</v>
      </c>
      <c r="F49" s="13">
        <v>12.8605285714285</v>
      </c>
      <c r="G49" s="13" t="s">
        <v>48</v>
      </c>
    </row>
    <row r="50" spans="1:7">
      <c r="A50" s="13">
        <v>438</v>
      </c>
      <c r="B50" s="13" t="s">
        <v>40</v>
      </c>
      <c r="C50" s="13" t="s">
        <v>9</v>
      </c>
      <c r="D50" s="13" t="s">
        <v>11</v>
      </c>
      <c r="E50" s="13">
        <v>2022</v>
      </c>
      <c r="F50" s="13">
        <v>14.422815999999999</v>
      </c>
      <c r="G50" s="13" t="s">
        <v>48</v>
      </c>
    </row>
    <row r="51" spans="1:7">
      <c r="A51" s="13">
        <v>454</v>
      </c>
      <c r="B51" s="13" t="s">
        <v>40</v>
      </c>
      <c r="C51" s="13" t="s">
        <v>9</v>
      </c>
      <c r="D51" s="13" t="s">
        <v>11</v>
      </c>
      <c r="E51" s="13">
        <v>2022</v>
      </c>
      <c r="F51" s="13">
        <v>13.937949999999899</v>
      </c>
      <c r="G51" s="13" t="s">
        <v>48</v>
      </c>
    </row>
    <row r="52" spans="1:7">
      <c r="A52" s="13">
        <v>436</v>
      </c>
      <c r="B52" s="13" t="s">
        <v>40</v>
      </c>
      <c r="C52" s="13" t="s">
        <v>9</v>
      </c>
      <c r="D52" s="13" t="s">
        <v>13</v>
      </c>
      <c r="E52" s="13">
        <v>2022</v>
      </c>
      <c r="F52" s="13">
        <v>14.9492307692307</v>
      </c>
      <c r="G52" s="13" t="s">
        <v>48</v>
      </c>
    </row>
    <row r="53" spans="1:7">
      <c r="A53" s="13">
        <v>297</v>
      </c>
      <c r="B53" s="13" t="s">
        <v>40</v>
      </c>
      <c r="C53" s="13" t="s">
        <v>9</v>
      </c>
      <c r="D53" s="13" t="s">
        <v>11</v>
      </c>
      <c r="E53" s="13">
        <v>2021</v>
      </c>
      <c r="F53" s="13">
        <v>10.304526315789399</v>
      </c>
      <c r="G53" s="13" t="s">
        <v>48</v>
      </c>
    </row>
    <row r="54" spans="1:7">
      <c r="A54" s="13">
        <v>383</v>
      </c>
      <c r="B54" s="13" t="s">
        <v>40</v>
      </c>
      <c r="C54" s="13" t="s">
        <v>9</v>
      </c>
      <c r="D54" s="13" t="s">
        <v>13</v>
      </c>
      <c r="E54" s="13">
        <v>2021</v>
      </c>
      <c r="F54" s="13">
        <v>17.844181818181799</v>
      </c>
      <c r="G54" s="13" t="s">
        <v>48</v>
      </c>
    </row>
    <row r="55" spans="1:7">
      <c r="A55" s="13">
        <v>407</v>
      </c>
      <c r="B55" s="13" t="s">
        <v>40</v>
      </c>
      <c r="C55" s="13" t="s">
        <v>9</v>
      </c>
      <c r="D55" s="13" t="s">
        <v>11</v>
      </c>
      <c r="E55" s="13">
        <v>2022</v>
      </c>
      <c r="F55" s="13">
        <v>18.979485714285701</v>
      </c>
      <c r="G55" s="13" t="s">
        <v>48</v>
      </c>
    </row>
    <row r="56" spans="1:7">
      <c r="A56" s="13">
        <v>287</v>
      </c>
      <c r="B56" s="13" t="s">
        <v>40</v>
      </c>
      <c r="C56" s="13" t="s">
        <v>9</v>
      </c>
      <c r="D56" s="13" t="s">
        <v>11</v>
      </c>
      <c r="E56" s="13">
        <v>2021</v>
      </c>
      <c r="F56" s="13">
        <v>15.5986153846153</v>
      </c>
      <c r="G56" s="13" t="s">
        <v>48</v>
      </c>
    </row>
    <row r="57" spans="1:7">
      <c r="A57" s="13">
        <v>478</v>
      </c>
      <c r="B57" s="13" t="s">
        <v>40</v>
      </c>
      <c r="C57" s="13" t="s">
        <v>9</v>
      </c>
      <c r="D57" s="13" t="s">
        <v>13</v>
      </c>
      <c r="E57" s="13">
        <v>2022</v>
      </c>
      <c r="F57" s="13">
        <v>17.338715277777698</v>
      </c>
      <c r="G57" s="13" t="s">
        <v>48</v>
      </c>
    </row>
    <row r="58" spans="1:7">
      <c r="A58" s="13">
        <v>423</v>
      </c>
      <c r="B58" s="13" t="s">
        <v>40</v>
      </c>
      <c r="C58" s="13" t="s">
        <v>9</v>
      </c>
      <c r="D58" s="13" t="s">
        <v>11</v>
      </c>
      <c r="E58" s="13">
        <v>2022</v>
      </c>
      <c r="F58" s="13">
        <v>12.6565757575757</v>
      </c>
      <c r="G58" s="13" t="s">
        <v>48</v>
      </c>
    </row>
    <row r="59" spans="1:7">
      <c r="A59" s="13">
        <v>369</v>
      </c>
      <c r="B59" s="13" t="s">
        <v>40</v>
      </c>
      <c r="C59" s="13" t="s">
        <v>9</v>
      </c>
      <c r="D59" s="13" t="s">
        <v>11</v>
      </c>
      <c r="E59" s="13">
        <v>2021</v>
      </c>
      <c r="F59" s="13">
        <v>20.096380952380901</v>
      </c>
      <c r="G59" s="13" t="s">
        <v>48</v>
      </c>
    </row>
    <row r="60" spans="1:7">
      <c r="A60" s="13">
        <v>351</v>
      </c>
      <c r="B60" s="13" t="s">
        <v>40</v>
      </c>
      <c r="C60" s="13" t="s">
        <v>9</v>
      </c>
      <c r="D60" s="13" t="s">
        <v>13</v>
      </c>
      <c r="E60" s="13">
        <v>2021</v>
      </c>
      <c r="F60" s="13">
        <v>20.142476190476099</v>
      </c>
      <c r="G60" s="13" t="s">
        <v>48</v>
      </c>
    </row>
    <row r="61" spans="1:7">
      <c r="A61" s="13">
        <v>390</v>
      </c>
      <c r="B61" s="13" t="s">
        <v>40</v>
      </c>
      <c r="C61" s="13" t="s">
        <v>9</v>
      </c>
      <c r="D61" s="13" t="s">
        <v>11</v>
      </c>
      <c r="E61" s="13">
        <v>2021</v>
      </c>
      <c r="F61" s="13">
        <v>21.757200000000001</v>
      </c>
      <c r="G61" s="13" t="s">
        <v>48</v>
      </c>
    </row>
    <row r="62" spans="1:7">
      <c r="A62" s="13">
        <v>201</v>
      </c>
      <c r="B62" s="13" t="s">
        <v>40</v>
      </c>
      <c r="C62" s="13" t="s">
        <v>9</v>
      </c>
      <c r="D62" s="13" t="s">
        <v>11</v>
      </c>
      <c r="E62" s="13">
        <v>2019</v>
      </c>
      <c r="F62" s="13">
        <v>12.062941333333301</v>
      </c>
      <c r="G62" s="13" t="s">
        <v>48</v>
      </c>
    </row>
    <row r="63" spans="1:7">
      <c r="A63" s="13">
        <v>53</v>
      </c>
      <c r="B63" s="13" t="s">
        <v>40</v>
      </c>
      <c r="C63" s="13" t="s">
        <v>9</v>
      </c>
      <c r="D63" s="13" t="s">
        <v>11</v>
      </c>
      <c r="E63" s="13">
        <v>2018</v>
      </c>
      <c r="F63" s="13">
        <v>10.546046875</v>
      </c>
      <c r="G63" s="13" t="s">
        <v>48</v>
      </c>
    </row>
    <row r="64" spans="1:7">
      <c r="A64" s="13">
        <v>202</v>
      </c>
      <c r="B64" s="13" t="s">
        <v>40</v>
      </c>
      <c r="C64" s="13" t="s">
        <v>9</v>
      </c>
      <c r="D64" s="13" t="s">
        <v>11</v>
      </c>
      <c r="E64" s="13">
        <v>2019</v>
      </c>
      <c r="F64" s="13">
        <v>17.140704761904701</v>
      </c>
      <c r="G64" s="13" t="s">
        <v>48</v>
      </c>
    </row>
    <row r="65" spans="1:7">
      <c r="A65" s="13">
        <v>452</v>
      </c>
      <c r="B65" s="13" t="s">
        <v>40</v>
      </c>
      <c r="C65" s="13" t="s">
        <v>20</v>
      </c>
      <c r="D65" s="13" t="s">
        <v>11</v>
      </c>
      <c r="E65" s="13">
        <v>2022</v>
      </c>
      <c r="F65" s="13">
        <v>14.767707999999899</v>
      </c>
      <c r="G65" s="13" t="s">
        <v>48</v>
      </c>
    </row>
    <row r="66" spans="1:7">
      <c r="A66" s="13">
        <v>96</v>
      </c>
      <c r="B66" s="13" t="s">
        <v>40</v>
      </c>
      <c r="C66" s="13" t="s">
        <v>9</v>
      </c>
      <c r="D66" s="13" t="s">
        <v>11</v>
      </c>
      <c r="E66" s="13">
        <v>2018</v>
      </c>
      <c r="F66" s="13">
        <v>12.9347310344827</v>
      </c>
      <c r="G66" s="13" t="s">
        <v>48</v>
      </c>
    </row>
    <row r="67" spans="1:7">
      <c r="A67" s="13">
        <v>280</v>
      </c>
      <c r="B67" s="13" t="s">
        <v>40</v>
      </c>
      <c r="C67" s="13" t="s">
        <v>9</v>
      </c>
      <c r="D67" s="13" t="s">
        <v>11</v>
      </c>
      <c r="E67" s="13">
        <v>2021</v>
      </c>
      <c r="F67" s="13">
        <v>10.1813698924731</v>
      </c>
      <c r="G67" s="13" t="s">
        <v>48</v>
      </c>
    </row>
    <row r="68" spans="1:7">
      <c r="A68" s="13">
        <v>492</v>
      </c>
      <c r="B68" s="13" t="s">
        <v>40</v>
      </c>
      <c r="C68" s="13" t="s">
        <v>20</v>
      </c>
      <c r="D68" s="13" t="s">
        <v>13</v>
      </c>
      <c r="E68" s="13">
        <v>2022</v>
      </c>
      <c r="F68" s="13">
        <v>18.584166666666601</v>
      </c>
      <c r="G68" s="13" t="s">
        <v>48</v>
      </c>
    </row>
    <row r="69" spans="1:7">
      <c r="A69" s="13">
        <v>421</v>
      </c>
      <c r="B69" s="13" t="s">
        <v>40</v>
      </c>
      <c r="C69" s="13" t="s">
        <v>20</v>
      </c>
      <c r="D69" s="13" t="s">
        <v>13</v>
      </c>
      <c r="E69" s="13">
        <v>2022</v>
      </c>
      <c r="F69" s="13">
        <v>78.881540000000001</v>
      </c>
      <c r="G69" s="13" t="s">
        <v>48</v>
      </c>
    </row>
    <row r="70" spans="1:7">
      <c r="A70" s="13">
        <v>303</v>
      </c>
      <c r="B70" s="13" t="s">
        <v>40</v>
      </c>
      <c r="C70" s="13" t="s">
        <v>9</v>
      </c>
      <c r="D70" s="13" t="s">
        <v>13</v>
      </c>
      <c r="E70" s="13">
        <v>2021</v>
      </c>
      <c r="F70" s="13">
        <v>12.866239999999999</v>
      </c>
      <c r="G70" s="13" t="s">
        <v>48</v>
      </c>
    </row>
    <row r="71" spans="1:7">
      <c r="A71" s="13">
        <v>325</v>
      </c>
      <c r="B71" s="13" t="s">
        <v>40</v>
      </c>
      <c r="C71" s="13" t="s">
        <v>9</v>
      </c>
      <c r="D71" s="13" t="s">
        <v>11</v>
      </c>
      <c r="E71" s="13">
        <v>2021</v>
      </c>
      <c r="F71" s="13">
        <v>15.4651428571428</v>
      </c>
      <c r="G71" s="13" t="s">
        <v>48</v>
      </c>
    </row>
    <row r="72" spans="1:7">
      <c r="A72" s="13">
        <v>384</v>
      </c>
      <c r="B72" s="13" t="s">
        <v>40</v>
      </c>
      <c r="C72" s="13" t="s">
        <v>9</v>
      </c>
      <c r="D72" s="13" t="s">
        <v>13</v>
      </c>
      <c r="E72" s="13">
        <v>2021</v>
      </c>
      <c r="F72" s="13">
        <v>14.270608695652101</v>
      </c>
      <c r="G72" s="13" t="s">
        <v>48</v>
      </c>
    </row>
    <row r="73" spans="1:7">
      <c r="A73" s="13">
        <v>184</v>
      </c>
      <c r="B73" s="13" t="s">
        <v>40</v>
      </c>
      <c r="C73" s="13" t="s">
        <v>9</v>
      </c>
      <c r="D73" s="13" t="s">
        <v>13</v>
      </c>
      <c r="E73" s="13">
        <v>2019</v>
      </c>
      <c r="F73" s="13">
        <v>12.708692307692299</v>
      </c>
      <c r="G73" s="13" t="s">
        <v>48</v>
      </c>
    </row>
    <row r="74" spans="1:7">
      <c r="A74" s="13">
        <v>408</v>
      </c>
      <c r="B74" s="13" t="s">
        <v>40</v>
      </c>
      <c r="C74" s="13" t="s">
        <v>9</v>
      </c>
      <c r="D74" s="13" t="s">
        <v>11</v>
      </c>
      <c r="E74" s="13">
        <v>2022</v>
      </c>
      <c r="F74" s="13">
        <v>13.575263999999899</v>
      </c>
      <c r="G74" s="13" t="s">
        <v>48</v>
      </c>
    </row>
    <row r="75" spans="1:7">
      <c r="A75" s="13">
        <v>392</v>
      </c>
      <c r="B75" s="13" t="s">
        <v>40</v>
      </c>
      <c r="C75" s="13" t="s">
        <v>9</v>
      </c>
      <c r="D75" s="13" t="s">
        <v>11</v>
      </c>
      <c r="E75" s="13">
        <v>2021</v>
      </c>
      <c r="F75" s="13">
        <v>14.9363478260869</v>
      </c>
      <c r="G75" s="13" t="s">
        <v>48</v>
      </c>
    </row>
    <row r="76" spans="1:7">
      <c r="A76" s="13">
        <v>134</v>
      </c>
      <c r="B76" s="13" t="s">
        <v>40</v>
      </c>
      <c r="C76" s="13" t="s">
        <v>9</v>
      </c>
      <c r="D76" s="13" t="s">
        <v>13</v>
      </c>
      <c r="E76" s="13">
        <v>2019</v>
      </c>
      <c r="F76" s="13">
        <v>17.228339999999999</v>
      </c>
      <c r="G76" s="13" t="s">
        <v>48</v>
      </c>
    </row>
    <row r="77" spans="1:7">
      <c r="A77" s="13">
        <v>215</v>
      </c>
      <c r="B77" s="13" t="s">
        <v>40</v>
      </c>
      <c r="C77" s="13" t="s">
        <v>9</v>
      </c>
      <c r="D77" s="13" t="s">
        <v>13</v>
      </c>
      <c r="E77" s="13">
        <v>2019</v>
      </c>
      <c r="F77" s="13">
        <v>12.8225333333333</v>
      </c>
      <c r="G77" s="13" t="s">
        <v>48</v>
      </c>
    </row>
    <row r="78" spans="1:7">
      <c r="A78" s="13">
        <v>136</v>
      </c>
      <c r="B78" s="13" t="s">
        <v>40</v>
      </c>
      <c r="C78" s="13" t="s">
        <v>9</v>
      </c>
      <c r="D78" s="13" t="s">
        <v>11</v>
      </c>
      <c r="E78" s="13">
        <v>2019</v>
      </c>
      <c r="F78" s="13">
        <v>10.1646285714285</v>
      </c>
      <c r="G78" s="13" t="s">
        <v>48</v>
      </c>
    </row>
    <row r="79" spans="1:7">
      <c r="A79" s="13">
        <v>204</v>
      </c>
      <c r="B79" s="13" t="s">
        <v>40</v>
      </c>
      <c r="C79" s="13" t="s">
        <v>9</v>
      </c>
      <c r="D79" s="13" t="s">
        <v>13</v>
      </c>
      <c r="E79" s="13">
        <v>2019</v>
      </c>
      <c r="F79" s="13">
        <v>11.1320979166666</v>
      </c>
      <c r="G79" s="13" t="s">
        <v>48</v>
      </c>
    </row>
    <row r="80" spans="1:7">
      <c r="A80" s="13">
        <v>277</v>
      </c>
      <c r="B80" s="13" t="s">
        <v>40</v>
      </c>
      <c r="C80" s="13" t="s">
        <v>9</v>
      </c>
      <c r="D80" s="13" t="s">
        <v>11</v>
      </c>
      <c r="E80" s="13">
        <v>2021</v>
      </c>
      <c r="F80" s="13">
        <v>15.662020289855</v>
      </c>
      <c r="G80" s="13" t="s">
        <v>48</v>
      </c>
    </row>
    <row r="81" spans="1:7">
      <c r="A81" s="13">
        <v>339</v>
      </c>
      <c r="B81" s="13" t="s">
        <v>40</v>
      </c>
      <c r="C81" s="13" t="s">
        <v>9</v>
      </c>
      <c r="D81" s="13" t="s">
        <v>11</v>
      </c>
      <c r="E81" s="13">
        <v>2021</v>
      </c>
      <c r="F81" s="13">
        <v>16.111999999999998</v>
      </c>
      <c r="G81" s="13" t="s">
        <v>48</v>
      </c>
    </row>
    <row r="82" spans="1:7">
      <c r="A82" s="13">
        <v>307</v>
      </c>
      <c r="B82" s="13" t="s">
        <v>40</v>
      </c>
      <c r="C82" s="13" t="s">
        <v>9</v>
      </c>
      <c r="D82" s="13" t="s">
        <v>13</v>
      </c>
      <c r="E82" s="13">
        <v>2021</v>
      </c>
      <c r="F82" s="13">
        <v>12.6874666666666</v>
      </c>
      <c r="G82" s="13" t="s">
        <v>48</v>
      </c>
    </row>
    <row r="83" spans="1:7">
      <c r="A83" s="13">
        <v>226</v>
      </c>
      <c r="B83" s="13" t="s">
        <v>40</v>
      </c>
      <c r="C83" s="13" t="s">
        <v>9</v>
      </c>
      <c r="D83" s="13" t="s">
        <v>13</v>
      </c>
      <c r="E83" s="13">
        <v>2019</v>
      </c>
      <c r="F83" s="13">
        <v>13.2039448275862</v>
      </c>
      <c r="G83" s="13" t="s">
        <v>48</v>
      </c>
    </row>
    <row r="84" spans="1:7">
      <c r="A84" s="13">
        <v>268</v>
      </c>
      <c r="B84" s="13" t="s">
        <v>40</v>
      </c>
      <c r="C84" s="13" t="s">
        <v>9</v>
      </c>
      <c r="D84" s="13" t="s">
        <v>11</v>
      </c>
      <c r="E84" s="13">
        <v>2020</v>
      </c>
      <c r="F84" s="13">
        <v>12.003776041666599</v>
      </c>
      <c r="G84" s="13" t="s">
        <v>48</v>
      </c>
    </row>
    <row r="85" spans="1:7">
      <c r="A85" s="13">
        <v>210</v>
      </c>
      <c r="B85" s="13" t="s">
        <v>40</v>
      </c>
      <c r="C85" s="13" t="s">
        <v>9</v>
      </c>
      <c r="D85" s="13" t="s">
        <v>13</v>
      </c>
      <c r="E85" s="13">
        <v>2019</v>
      </c>
      <c r="F85" s="13">
        <v>15.0808589743589</v>
      </c>
      <c r="G85" s="13" t="s">
        <v>48</v>
      </c>
    </row>
    <row r="86" spans="1:7">
      <c r="A86" s="13">
        <v>469</v>
      </c>
      <c r="B86" s="13" t="s">
        <v>40</v>
      </c>
      <c r="C86" s="13" t="s">
        <v>9</v>
      </c>
      <c r="D86" s="13" t="s">
        <v>13</v>
      </c>
      <c r="E86" s="13">
        <v>2022</v>
      </c>
      <c r="F86" s="13">
        <v>16.511979166666599</v>
      </c>
      <c r="G86" s="13" t="s">
        <v>48</v>
      </c>
    </row>
    <row r="87" spans="1:7">
      <c r="A87" s="13">
        <v>341</v>
      </c>
      <c r="B87" s="13" t="s">
        <v>40</v>
      </c>
      <c r="C87" s="13" t="s">
        <v>9</v>
      </c>
      <c r="D87" s="13" t="s">
        <v>11</v>
      </c>
      <c r="E87" s="13">
        <v>2021</v>
      </c>
      <c r="F87" s="13">
        <v>12.171272727272701</v>
      </c>
      <c r="G87" s="13" t="s">
        <v>48</v>
      </c>
    </row>
    <row r="88" spans="1:7">
      <c r="A88" s="13">
        <v>435</v>
      </c>
      <c r="B88" s="13" t="s">
        <v>40</v>
      </c>
      <c r="C88" s="13" t="s">
        <v>9</v>
      </c>
      <c r="D88" s="13" t="s">
        <v>11</v>
      </c>
      <c r="E88" s="13">
        <v>2022</v>
      </c>
      <c r="F88" s="13">
        <v>14.4390285714285</v>
      </c>
      <c r="G88" s="13" t="s">
        <v>48</v>
      </c>
    </row>
    <row r="89" spans="1:7">
      <c r="A89" s="13">
        <v>283</v>
      </c>
      <c r="B89" s="13" t="s">
        <v>40</v>
      </c>
      <c r="C89" s="13" t="s">
        <v>9</v>
      </c>
      <c r="D89" s="13" t="s">
        <v>11</v>
      </c>
      <c r="E89" s="13">
        <v>2021</v>
      </c>
      <c r="F89" s="13">
        <v>14.1290758620689</v>
      </c>
      <c r="G89" s="13" t="s">
        <v>48</v>
      </c>
    </row>
    <row r="90" spans="1:7">
      <c r="A90" s="13">
        <v>406</v>
      </c>
      <c r="B90" s="13" t="s">
        <v>40</v>
      </c>
      <c r="C90" s="13" t="s">
        <v>9</v>
      </c>
      <c r="D90" s="13" t="s">
        <v>11</v>
      </c>
      <c r="E90" s="13">
        <v>2022</v>
      </c>
      <c r="F90" s="13">
        <v>16.629435999999998</v>
      </c>
      <c r="G90" s="13" t="s">
        <v>48</v>
      </c>
    </row>
    <row r="91" spans="1:7">
      <c r="A91" s="13">
        <v>471</v>
      </c>
      <c r="B91" s="13" t="s">
        <v>40</v>
      </c>
      <c r="C91" s="13" t="s">
        <v>9</v>
      </c>
      <c r="D91" s="13" t="s">
        <v>11</v>
      </c>
      <c r="E91" s="13">
        <v>2022</v>
      </c>
      <c r="F91" s="13">
        <v>22.185416666666601</v>
      </c>
      <c r="G91" s="13" t="s">
        <v>48</v>
      </c>
    </row>
    <row r="92" spans="1:7">
      <c r="A92" s="13">
        <v>7</v>
      </c>
      <c r="B92" s="13" t="s">
        <v>40</v>
      </c>
      <c r="C92" s="13" t="s">
        <v>9</v>
      </c>
      <c r="D92" s="13" t="s">
        <v>11</v>
      </c>
      <c r="E92" s="13">
        <v>2017</v>
      </c>
      <c r="F92" s="13">
        <v>10.972799999999999</v>
      </c>
      <c r="G92" s="13" t="s">
        <v>48</v>
      </c>
    </row>
    <row r="93" spans="1:7">
      <c r="A93" s="13">
        <v>239</v>
      </c>
      <c r="B93" s="13" t="s">
        <v>40</v>
      </c>
      <c r="C93" s="13" t="s">
        <v>20</v>
      </c>
      <c r="D93" s="13" t="s">
        <v>11</v>
      </c>
      <c r="E93" s="13">
        <v>2019</v>
      </c>
      <c r="F93" s="13">
        <v>18.894375</v>
      </c>
      <c r="G93" s="13" t="s">
        <v>48</v>
      </c>
    </row>
    <row r="94" spans="1:7">
      <c r="A94" s="13">
        <v>220</v>
      </c>
      <c r="B94" s="13" t="s">
        <v>40</v>
      </c>
      <c r="C94" s="13" t="s">
        <v>9</v>
      </c>
      <c r="D94" s="13" t="s">
        <v>11</v>
      </c>
      <c r="E94" s="13">
        <v>2019</v>
      </c>
      <c r="F94" s="13">
        <v>14.8798761904761</v>
      </c>
      <c r="G94" s="13" t="s">
        <v>48</v>
      </c>
    </row>
    <row r="95" spans="1:7">
      <c r="A95" s="13">
        <v>124</v>
      </c>
      <c r="B95" s="13" t="s">
        <v>40</v>
      </c>
      <c r="C95" s="13" t="s">
        <v>9</v>
      </c>
      <c r="D95" s="13" t="s">
        <v>11</v>
      </c>
      <c r="E95" s="13">
        <v>2019</v>
      </c>
      <c r="F95" s="13">
        <v>13.967708333333301</v>
      </c>
      <c r="G95" s="13" t="s">
        <v>48</v>
      </c>
    </row>
    <row r="96" spans="1:7">
      <c r="A96" s="13">
        <v>322</v>
      </c>
      <c r="B96" s="13" t="s">
        <v>40</v>
      </c>
      <c r="C96" s="13" t="s">
        <v>9</v>
      </c>
      <c r="D96" s="13" t="s">
        <v>13</v>
      </c>
      <c r="E96" s="13">
        <v>2021</v>
      </c>
      <c r="F96" s="13">
        <v>13.0522962962962</v>
      </c>
      <c r="G96" s="13" t="s">
        <v>48</v>
      </c>
    </row>
    <row r="97" spans="1:7">
      <c r="A97" s="13">
        <v>304</v>
      </c>
      <c r="B97" s="13" t="s">
        <v>40</v>
      </c>
      <c r="C97" s="13" t="s">
        <v>9</v>
      </c>
      <c r="D97" s="13" t="s">
        <v>13</v>
      </c>
      <c r="E97" s="13">
        <v>2021</v>
      </c>
      <c r="F97" s="13">
        <v>16.246363636363601</v>
      </c>
      <c r="G97" s="13" t="s">
        <v>48</v>
      </c>
    </row>
    <row r="98" spans="1:7">
      <c r="A98" s="13">
        <v>269</v>
      </c>
      <c r="B98" s="13" t="s">
        <v>40</v>
      </c>
      <c r="C98" s="13" t="s">
        <v>9</v>
      </c>
      <c r="D98" s="13" t="s">
        <v>11</v>
      </c>
      <c r="E98" s="13">
        <v>2020</v>
      </c>
      <c r="F98" s="13">
        <v>9.2202991452991405</v>
      </c>
      <c r="G98" s="13" t="s">
        <v>47</v>
      </c>
    </row>
    <row r="99" spans="1:7">
      <c r="A99" s="13">
        <v>282</v>
      </c>
      <c r="B99" s="13" t="s">
        <v>40</v>
      </c>
      <c r="C99" s="13" t="s">
        <v>9</v>
      </c>
      <c r="D99" s="13" t="s">
        <v>13</v>
      </c>
      <c r="E99" s="13">
        <v>2021</v>
      </c>
      <c r="F99" s="13">
        <v>10.0837210526315</v>
      </c>
      <c r="G99" s="13" t="s">
        <v>48</v>
      </c>
    </row>
    <row r="100" spans="1:7">
      <c r="A100" s="13">
        <v>361</v>
      </c>
      <c r="B100" s="13" t="s">
        <v>40</v>
      </c>
      <c r="C100" s="13" t="s">
        <v>9</v>
      </c>
      <c r="D100" s="13" t="s">
        <v>13</v>
      </c>
      <c r="E100" s="13">
        <v>2021</v>
      </c>
      <c r="F100" s="13">
        <v>14.2442857142857</v>
      </c>
      <c r="G100" s="13" t="s">
        <v>48</v>
      </c>
    </row>
    <row r="101" spans="1:7">
      <c r="A101" s="13">
        <v>337</v>
      </c>
      <c r="B101" s="13" t="s">
        <v>40</v>
      </c>
      <c r="C101" s="13" t="s">
        <v>9</v>
      </c>
      <c r="D101" s="13" t="s">
        <v>13</v>
      </c>
      <c r="E101" s="13">
        <v>2021</v>
      </c>
      <c r="F101" s="13">
        <v>21.291789473684201</v>
      </c>
      <c r="G101" s="13" t="s">
        <v>48</v>
      </c>
    </row>
    <row r="102" spans="1:7">
      <c r="A102" s="13">
        <v>488</v>
      </c>
      <c r="B102" s="13" t="s">
        <v>40</v>
      </c>
      <c r="C102" s="13" t="s">
        <v>9</v>
      </c>
      <c r="D102" s="13" t="s">
        <v>13</v>
      </c>
      <c r="E102" s="13">
        <v>2022</v>
      </c>
      <c r="F102" s="13">
        <v>15.2992283950617</v>
      </c>
      <c r="G102" s="13" t="s">
        <v>48</v>
      </c>
    </row>
    <row r="103" spans="1:7">
      <c r="A103" s="13">
        <v>476</v>
      </c>
      <c r="B103" s="13" t="s">
        <v>40</v>
      </c>
      <c r="C103" s="13" t="s">
        <v>9</v>
      </c>
      <c r="D103" s="13" t="s">
        <v>13</v>
      </c>
      <c r="E103" s="13">
        <v>2022</v>
      </c>
      <c r="F103" s="13">
        <v>15.4308035714285</v>
      </c>
      <c r="G103" s="13" t="s">
        <v>48</v>
      </c>
    </row>
    <row r="104" spans="1:7">
      <c r="A104" s="13">
        <v>265</v>
      </c>
      <c r="B104" s="13" t="s">
        <v>40</v>
      </c>
      <c r="C104" s="13" t="s">
        <v>9</v>
      </c>
      <c r="D104" s="13" t="s">
        <v>11</v>
      </c>
      <c r="E104" s="13">
        <v>2020</v>
      </c>
      <c r="F104" s="13">
        <v>17.442833333333301</v>
      </c>
      <c r="G104" s="13" t="s">
        <v>48</v>
      </c>
    </row>
    <row r="105" spans="1:7">
      <c r="A105" s="13">
        <v>457</v>
      </c>
      <c r="B105" s="13" t="s">
        <v>40</v>
      </c>
      <c r="C105" s="13" t="s">
        <v>9</v>
      </c>
      <c r="D105" s="13" t="s">
        <v>13</v>
      </c>
      <c r="E105" s="13">
        <v>2022</v>
      </c>
      <c r="F105" s="13">
        <v>25.7038647058823</v>
      </c>
      <c r="G105" s="13" t="s">
        <v>48</v>
      </c>
    </row>
    <row r="106" spans="1:7">
      <c r="A106" s="13">
        <v>40</v>
      </c>
      <c r="B106" s="13" t="s">
        <v>40</v>
      </c>
      <c r="C106" s="13" t="s">
        <v>9</v>
      </c>
      <c r="D106" s="13" t="s">
        <v>11</v>
      </c>
      <c r="E106" s="13">
        <v>2018</v>
      </c>
      <c r="F106" s="13">
        <v>10.1663714285714</v>
      </c>
      <c r="G106" s="13" t="s">
        <v>48</v>
      </c>
    </row>
    <row r="107" spans="1:7">
      <c r="A107" s="13">
        <v>71</v>
      </c>
      <c r="B107" s="13" t="s">
        <v>40</v>
      </c>
      <c r="C107" s="13" t="s">
        <v>9</v>
      </c>
      <c r="D107" s="13" t="s">
        <v>13</v>
      </c>
      <c r="E107" s="13">
        <v>2018</v>
      </c>
      <c r="F107" s="13">
        <v>9.5297888888888895</v>
      </c>
      <c r="G107" s="13" t="s">
        <v>47</v>
      </c>
    </row>
    <row r="108" spans="1:7">
      <c r="A108" s="13">
        <v>158</v>
      </c>
      <c r="B108" s="13" t="s">
        <v>40</v>
      </c>
      <c r="C108" s="13" t="s">
        <v>9</v>
      </c>
      <c r="D108" s="13" t="s">
        <v>11</v>
      </c>
      <c r="E108" s="13">
        <v>2019</v>
      </c>
      <c r="F108" s="13">
        <v>16.212599999999998</v>
      </c>
      <c r="G108" s="13" t="s">
        <v>48</v>
      </c>
    </row>
    <row r="109" spans="1:7">
      <c r="A109" s="13">
        <v>238</v>
      </c>
      <c r="B109" s="13" t="s">
        <v>40</v>
      </c>
      <c r="C109" s="13" t="s">
        <v>9</v>
      </c>
      <c r="D109" s="13" t="s">
        <v>11</v>
      </c>
      <c r="E109" s="13">
        <v>2019</v>
      </c>
      <c r="F109" s="13">
        <v>12.6693</v>
      </c>
      <c r="G109" s="13" t="s">
        <v>48</v>
      </c>
    </row>
    <row r="110" spans="1:7">
      <c r="A110" s="13">
        <v>137</v>
      </c>
      <c r="B110" s="13" t="s">
        <v>40</v>
      </c>
      <c r="C110" s="13" t="s">
        <v>9</v>
      </c>
      <c r="D110" s="13" t="s">
        <v>11</v>
      </c>
      <c r="E110" s="13">
        <v>2019</v>
      </c>
      <c r="F110" s="13">
        <v>13.8627818181818</v>
      </c>
      <c r="G110" s="13" t="s">
        <v>48</v>
      </c>
    </row>
    <row r="111" spans="1:7">
      <c r="A111" s="13">
        <v>125</v>
      </c>
      <c r="B111" s="13" t="s">
        <v>40</v>
      </c>
      <c r="C111" s="13" t="s">
        <v>9</v>
      </c>
      <c r="D111" s="13" t="s">
        <v>11</v>
      </c>
      <c r="E111" s="13">
        <v>2019</v>
      </c>
      <c r="F111" s="13">
        <v>11.3064049382716</v>
      </c>
      <c r="G111" s="13" t="s">
        <v>48</v>
      </c>
    </row>
    <row r="112" spans="1:7">
      <c r="A112" s="13">
        <v>180</v>
      </c>
      <c r="B112" s="13" t="s">
        <v>40</v>
      </c>
      <c r="C112" s="13" t="s">
        <v>9</v>
      </c>
      <c r="D112" s="13" t="s">
        <v>11</v>
      </c>
      <c r="E112" s="13">
        <v>2019</v>
      </c>
      <c r="F112" s="13">
        <v>11.484543209876501</v>
      </c>
      <c r="G112" s="13" t="s">
        <v>48</v>
      </c>
    </row>
    <row r="113" spans="1:7">
      <c r="A113" s="13">
        <v>91</v>
      </c>
      <c r="B113" s="13" t="s">
        <v>40</v>
      </c>
      <c r="C113" s="13" t="s">
        <v>9</v>
      </c>
      <c r="D113" s="13" t="s">
        <v>11</v>
      </c>
      <c r="E113" s="13">
        <v>2018</v>
      </c>
      <c r="F113" s="13">
        <v>12.692484</v>
      </c>
      <c r="G113" s="13" t="s">
        <v>48</v>
      </c>
    </row>
    <row r="114" spans="1:7">
      <c r="A114" s="13">
        <v>76</v>
      </c>
      <c r="B114" s="13" t="s">
        <v>40</v>
      </c>
      <c r="C114" s="13" t="s">
        <v>9</v>
      </c>
      <c r="D114" s="13" t="s">
        <v>11</v>
      </c>
      <c r="E114" s="13">
        <v>2018</v>
      </c>
      <c r="F114" s="13">
        <v>12.3091602564102</v>
      </c>
      <c r="G114" s="13" t="s">
        <v>48</v>
      </c>
    </row>
    <row r="115" spans="1:7">
      <c r="A115" s="13">
        <v>144</v>
      </c>
      <c r="B115" s="13" t="s">
        <v>40</v>
      </c>
      <c r="C115" s="13" t="s">
        <v>9</v>
      </c>
      <c r="D115" s="13" t="s">
        <v>11</v>
      </c>
      <c r="E115" s="13">
        <v>2019</v>
      </c>
      <c r="F115" s="13">
        <v>16.04946</v>
      </c>
      <c r="G115" s="13" t="s">
        <v>48</v>
      </c>
    </row>
    <row r="116" spans="1:7">
      <c r="A116" s="13">
        <v>175</v>
      </c>
      <c r="B116" s="13" t="s">
        <v>40</v>
      </c>
      <c r="C116" s="13" t="s">
        <v>9</v>
      </c>
      <c r="D116" s="13" t="s">
        <v>13</v>
      </c>
      <c r="E116" s="13">
        <v>2019</v>
      </c>
      <c r="F116" s="13">
        <v>11.937200000000001</v>
      </c>
      <c r="G116" s="13" t="s">
        <v>48</v>
      </c>
    </row>
    <row r="117" spans="1:7">
      <c r="A117" s="13">
        <v>15</v>
      </c>
      <c r="B117" s="13" t="s">
        <v>40</v>
      </c>
      <c r="C117" s="13" t="s">
        <v>9</v>
      </c>
      <c r="D117" s="13" t="s">
        <v>13</v>
      </c>
      <c r="E117" s="13">
        <v>2017</v>
      </c>
      <c r="F117" s="13">
        <v>14.215</v>
      </c>
      <c r="G117" s="13" t="s">
        <v>48</v>
      </c>
    </row>
    <row r="118" spans="1:7">
      <c r="A118" s="13">
        <v>205</v>
      </c>
      <c r="B118" s="13" t="s">
        <v>40</v>
      </c>
      <c r="C118" s="13" t="s">
        <v>9</v>
      </c>
      <c r="D118" s="13" t="s">
        <v>13</v>
      </c>
      <c r="E118" s="13">
        <v>2019</v>
      </c>
      <c r="F118" s="13">
        <v>16.445096969696898</v>
      </c>
      <c r="G118" s="13" t="s">
        <v>48</v>
      </c>
    </row>
    <row r="119" spans="1:7">
      <c r="A119" s="13">
        <v>181</v>
      </c>
      <c r="B119" s="13" t="s">
        <v>40</v>
      </c>
      <c r="C119" s="13" t="s">
        <v>9</v>
      </c>
      <c r="D119" s="13" t="s">
        <v>11</v>
      </c>
      <c r="E119" s="13">
        <v>2019</v>
      </c>
      <c r="F119" s="13">
        <v>14.025023076923</v>
      </c>
      <c r="G119" s="13" t="s">
        <v>48</v>
      </c>
    </row>
    <row r="120" spans="1:7">
      <c r="A120" s="13">
        <v>79</v>
      </c>
      <c r="B120" s="13" t="s">
        <v>40</v>
      </c>
      <c r="C120" s="13" t="s">
        <v>9</v>
      </c>
      <c r="D120" s="13" t="s">
        <v>13</v>
      </c>
      <c r="E120" s="13">
        <v>2018</v>
      </c>
      <c r="F120" s="13">
        <v>16.073065217391299</v>
      </c>
      <c r="G120" s="13" t="s">
        <v>48</v>
      </c>
    </row>
    <row r="121" spans="1:7">
      <c r="A121" s="13">
        <v>385</v>
      </c>
      <c r="B121" s="13" t="s">
        <v>40</v>
      </c>
      <c r="C121" s="13" t="s">
        <v>9</v>
      </c>
      <c r="D121" s="13" t="s">
        <v>11</v>
      </c>
      <c r="E121" s="13">
        <v>2021</v>
      </c>
      <c r="F121" s="13">
        <v>14.248615384615301</v>
      </c>
      <c r="G121" s="13" t="s">
        <v>48</v>
      </c>
    </row>
    <row r="122" spans="1:7">
      <c r="A122" s="13">
        <v>200</v>
      </c>
      <c r="B122" s="13" t="s">
        <v>40</v>
      </c>
      <c r="C122" s="13" t="s">
        <v>9</v>
      </c>
      <c r="D122" s="13" t="s">
        <v>11</v>
      </c>
      <c r="E122" s="13">
        <v>2019</v>
      </c>
      <c r="F122" s="13">
        <v>19.7316842105263</v>
      </c>
      <c r="G122" s="13" t="s">
        <v>48</v>
      </c>
    </row>
    <row r="123" spans="1:7">
      <c r="A123" s="13">
        <v>165</v>
      </c>
      <c r="B123" s="13" t="s">
        <v>40</v>
      </c>
      <c r="C123" s="13" t="s">
        <v>9</v>
      </c>
      <c r="D123" s="13" t="s">
        <v>11</v>
      </c>
      <c r="E123" s="13">
        <v>2019</v>
      </c>
      <c r="F123" s="13">
        <v>13.4115428571428</v>
      </c>
      <c r="G123" s="13" t="s">
        <v>48</v>
      </c>
    </row>
    <row r="124" spans="1:7">
      <c r="A124" s="13">
        <v>207</v>
      </c>
      <c r="B124" s="13" t="s">
        <v>40</v>
      </c>
      <c r="C124" s="13" t="s">
        <v>9</v>
      </c>
      <c r="D124" s="13" t="s">
        <v>11</v>
      </c>
      <c r="E124" s="13">
        <v>2019</v>
      </c>
      <c r="F124" s="13">
        <v>18.4110317460317</v>
      </c>
      <c r="G124" s="13" t="s">
        <v>48</v>
      </c>
    </row>
    <row r="125" spans="1:7">
      <c r="A125" s="13">
        <v>174</v>
      </c>
      <c r="B125" s="13" t="s">
        <v>40</v>
      </c>
      <c r="C125" s="13" t="s">
        <v>9</v>
      </c>
      <c r="D125" s="13" t="s">
        <v>13</v>
      </c>
      <c r="E125" s="13">
        <v>2019</v>
      </c>
      <c r="F125" s="13">
        <v>15.579504</v>
      </c>
      <c r="G125" s="13" t="s">
        <v>48</v>
      </c>
    </row>
    <row r="126" spans="1:7">
      <c r="A126" s="13">
        <v>301</v>
      </c>
      <c r="B126" s="13" t="s">
        <v>40</v>
      </c>
      <c r="C126" s="13" t="s">
        <v>9</v>
      </c>
      <c r="D126" s="13" t="s">
        <v>11</v>
      </c>
      <c r="E126" s="13">
        <v>2021</v>
      </c>
      <c r="F126" s="13">
        <v>16.742999999999999</v>
      </c>
      <c r="G126" s="13" t="s">
        <v>48</v>
      </c>
    </row>
    <row r="127" spans="1:7">
      <c r="A127" s="13">
        <v>479</v>
      </c>
      <c r="B127" s="13" t="s">
        <v>40</v>
      </c>
      <c r="C127" s="13" t="s">
        <v>9</v>
      </c>
      <c r="D127" s="13" t="s">
        <v>11</v>
      </c>
      <c r="E127" s="13">
        <v>2022</v>
      </c>
      <c r="F127" s="13">
        <v>18.301515151515101</v>
      </c>
      <c r="G127" s="13" t="s">
        <v>48</v>
      </c>
    </row>
    <row r="128" spans="1:7">
      <c r="A128" s="13">
        <v>299</v>
      </c>
      <c r="B128" s="13" t="s">
        <v>40</v>
      </c>
      <c r="C128" s="13" t="s">
        <v>9</v>
      </c>
      <c r="D128" s="13" t="s">
        <v>11</v>
      </c>
      <c r="E128" s="13">
        <v>2021</v>
      </c>
      <c r="F128" s="13">
        <v>17.6398260869565</v>
      </c>
      <c r="G128" s="13" t="s">
        <v>48</v>
      </c>
    </row>
    <row r="129" spans="1:7">
      <c r="A129" s="13">
        <v>276</v>
      </c>
      <c r="B129" s="13" t="s">
        <v>40</v>
      </c>
      <c r="C129" s="13" t="s">
        <v>9</v>
      </c>
      <c r="D129" s="13" t="s">
        <v>11</v>
      </c>
      <c r="E129" s="13">
        <v>2020</v>
      </c>
      <c r="F129" s="13">
        <v>16.382833333333298</v>
      </c>
      <c r="G129" s="13" t="s">
        <v>48</v>
      </c>
    </row>
    <row r="130" spans="1:7">
      <c r="A130" s="13">
        <v>260</v>
      </c>
      <c r="B130" s="13" t="s">
        <v>40</v>
      </c>
      <c r="C130" s="13" t="s">
        <v>9</v>
      </c>
      <c r="D130" s="13" t="s">
        <v>11</v>
      </c>
      <c r="E130" s="13">
        <v>2020</v>
      </c>
      <c r="F130" s="13">
        <v>19.452898550724601</v>
      </c>
      <c r="G130" s="13" t="s">
        <v>48</v>
      </c>
    </row>
    <row r="131" spans="1:7">
      <c r="A131" s="13">
        <v>302</v>
      </c>
      <c r="B131" s="13" t="s">
        <v>40</v>
      </c>
      <c r="C131" s="13" t="s">
        <v>9</v>
      </c>
      <c r="D131" s="13" t="s">
        <v>11</v>
      </c>
      <c r="E131" s="13">
        <v>2021</v>
      </c>
      <c r="F131" s="13">
        <v>12.065481481481401</v>
      </c>
      <c r="G131" s="13" t="s">
        <v>48</v>
      </c>
    </row>
    <row r="132" spans="1:7">
      <c r="A132" s="13">
        <v>450</v>
      </c>
      <c r="B132" s="13" t="s">
        <v>40</v>
      </c>
      <c r="C132" s="13" t="s">
        <v>9</v>
      </c>
      <c r="D132" s="13" t="s">
        <v>13</v>
      </c>
      <c r="E132" s="13">
        <v>2022</v>
      </c>
      <c r="F132" s="13">
        <v>14.547334782608599</v>
      </c>
      <c r="G132" s="13" t="s">
        <v>48</v>
      </c>
    </row>
    <row r="133" spans="1:7">
      <c r="A133" s="13">
        <v>446</v>
      </c>
      <c r="B133" s="13" t="s">
        <v>40</v>
      </c>
      <c r="C133" s="13" t="s">
        <v>9</v>
      </c>
      <c r="D133" s="13" t="s">
        <v>11</v>
      </c>
      <c r="E133" s="13">
        <v>2022</v>
      </c>
      <c r="F133" s="13">
        <v>13.0532961538461</v>
      </c>
      <c r="G133" s="13" t="s">
        <v>48</v>
      </c>
    </row>
    <row r="134" spans="1:7">
      <c r="A134" s="13">
        <v>453</v>
      </c>
      <c r="B134" s="13" t="s">
        <v>40</v>
      </c>
      <c r="C134" s="13" t="s">
        <v>9</v>
      </c>
      <c r="D134" s="13" t="s">
        <v>11</v>
      </c>
      <c r="E134" s="13">
        <v>2022</v>
      </c>
      <c r="F134" s="13">
        <v>13.0965714285714</v>
      </c>
      <c r="G134" s="13" t="s">
        <v>48</v>
      </c>
    </row>
    <row r="135" spans="1:7">
      <c r="A135" s="13">
        <v>334</v>
      </c>
      <c r="B135" s="13" t="s">
        <v>40</v>
      </c>
      <c r="C135" s="13" t="s">
        <v>9</v>
      </c>
      <c r="D135" s="13" t="s">
        <v>11</v>
      </c>
      <c r="E135" s="13">
        <v>2021</v>
      </c>
      <c r="F135" s="13">
        <v>18.7742</v>
      </c>
      <c r="G135" s="13" t="s">
        <v>48</v>
      </c>
    </row>
    <row r="136" spans="1:7">
      <c r="A136" s="13">
        <v>477</v>
      </c>
      <c r="B136" s="13" t="s">
        <v>40</v>
      </c>
      <c r="C136" s="13" t="s">
        <v>9</v>
      </c>
      <c r="D136" s="13" t="s">
        <v>11</v>
      </c>
      <c r="E136" s="13">
        <v>2022</v>
      </c>
      <c r="F136" s="13">
        <v>19.974561403508702</v>
      </c>
      <c r="G136" s="13" t="s">
        <v>48</v>
      </c>
    </row>
    <row r="137" spans="1:7">
      <c r="A137" s="13">
        <v>281</v>
      </c>
      <c r="B137" s="13" t="s">
        <v>40</v>
      </c>
      <c r="C137" s="13" t="s">
        <v>9</v>
      </c>
      <c r="D137" s="13" t="s">
        <v>11</v>
      </c>
      <c r="E137" s="13">
        <v>2021</v>
      </c>
      <c r="F137" s="13">
        <v>23.552144444444401</v>
      </c>
      <c r="G137" s="13" t="s">
        <v>48</v>
      </c>
    </row>
    <row r="138" spans="1:7">
      <c r="A138" s="13">
        <v>330</v>
      </c>
      <c r="B138" s="13" t="s">
        <v>40</v>
      </c>
      <c r="C138" s="13" t="s">
        <v>9</v>
      </c>
      <c r="D138" s="13" t="s">
        <v>11</v>
      </c>
      <c r="E138" s="13">
        <v>2021</v>
      </c>
      <c r="F138" s="13">
        <v>16.834923076923001</v>
      </c>
      <c r="G138" s="13" t="s">
        <v>48</v>
      </c>
    </row>
    <row r="139" spans="1:7">
      <c r="A139" s="13">
        <v>487</v>
      </c>
      <c r="B139" s="13" t="s">
        <v>40</v>
      </c>
      <c r="C139" s="13" t="s">
        <v>9</v>
      </c>
      <c r="D139" s="13" t="s">
        <v>11</v>
      </c>
      <c r="E139" s="13">
        <v>2022</v>
      </c>
      <c r="F139" s="13">
        <v>21.147023809523802</v>
      </c>
      <c r="G139" s="13" t="s">
        <v>48</v>
      </c>
    </row>
    <row r="140" spans="1:7">
      <c r="A140" s="13">
        <v>110</v>
      </c>
      <c r="B140" s="13" t="s">
        <v>40</v>
      </c>
      <c r="C140" s="13" t="s">
        <v>9</v>
      </c>
      <c r="D140" s="13" t="s">
        <v>11</v>
      </c>
      <c r="E140" s="13">
        <v>2018</v>
      </c>
      <c r="F140" s="13">
        <v>12.6502727272727</v>
      </c>
      <c r="G140" s="13" t="s">
        <v>48</v>
      </c>
    </row>
    <row r="141" spans="1:7">
      <c r="A141" s="13">
        <v>64</v>
      </c>
      <c r="B141" s="13" t="s">
        <v>40</v>
      </c>
      <c r="C141" s="13" t="s">
        <v>9</v>
      </c>
      <c r="D141" s="13" t="s">
        <v>11</v>
      </c>
      <c r="E141" s="13">
        <v>2018</v>
      </c>
      <c r="F141" s="13">
        <v>9.4984355555555506</v>
      </c>
      <c r="G141" s="13" t="s">
        <v>47</v>
      </c>
    </row>
    <row r="142" spans="1:7">
      <c r="A142" s="13">
        <v>8</v>
      </c>
      <c r="B142" s="13" t="s">
        <v>40</v>
      </c>
      <c r="C142" s="13" t="s">
        <v>9</v>
      </c>
      <c r="D142" s="13" t="s">
        <v>11</v>
      </c>
      <c r="E142" s="13">
        <v>2017</v>
      </c>
      <c r="F142" s="13">
        <v>12.2038888888888</v>
      </c>
      <c r="G142" s="13" t="s">
        <v>48</v>
      </c>
    </row>
    <row r="143" spans="1:7">
      <c r="A143" s="13">
        <v>35</v>
      </c>
      <c r="B143" s="13" t="s">
        <v>40</v>
      </c>
      <c r="C143" s="13" t="s">
        <v>9</v>
      </c>
      <c r="D143" s="13" t="s">
        <v>11</v>
      </c>
      <c r="E143" s="13">
        <v>2017</v>
      </c>
      <c r="F143" s="13">
        <v>12.59375</v>
      </c>
      <c r="G143" s="13" t="s">
        <v>48</v>
      </c>
    </row>
    <row r="144" spans="1:7">
      <c r="A144" s="13">
        <v>300</v>
      </c>
      <c r="B144" s="13" t="s">
        <v>40</v>
      </c>
      <c r="C144" s="13" t="s">
        <v>9</v>
      </c>
      <c r="D144" s="13" t="s">
        <v>13</v>
      </c>
      <c r="E144" s="13">
        <v>2021</v>
      </c>
      <c r="F144" s="13">
        <v>10.214124999999999</v>
      </c>
      <c r="G144" s="13" t="s">
        <v>48</v>
      </c>
    </row>
    <row r="145" spans="1:7">
      <c r="A145" s="13">
        <v>355</v>
      </c>
      <c r="B145" s="13" t="s">
        <v>40</v>
      </c>
      <c r="C145" s="13" t="s">
        <v>9</v>
      </c>
      <c r="D145" s="13" t="s">
        <v>13</v>
      </c>
      <c r="E145" s="13">
        <v>2021</v>
      </c>
      <c r="F145" s="13">
        <v>12.1751111111111</v>
      </c>
      <c r="G145" s="13" t="s">
        <v>48</v>
      </c>
    </row>
    <row r="146" spans="1:7">
      <c r="A146" s="13">
        <v>327</v>
      </c>
      <c r="B146" s="13" t="s">
        <v>40</v>
      </c>
      <c r="C146" s="13" t="s">
        <v>9</v>
      </c>
      <c r="D146" s="13" t="s">
        <v>13</v>
      </c>
      <c r="E146" s="13">
        <v>2021</v>
      </c>
      <c r="F146" s="13">
        <v>16.393142857142799</v>
      </c>
      <c r="G146" s="13" t="s">
        <v>48</v>
      </c>
    </row>
    <row r="147" spans="1:7">
      <c r="A147" s="13">
        <v>178</v>
      </c>
      <c r="B147" s="13" t="s">
        <v>40</v>
      </c>
      <c r="C147" s="13" t="s">
        <v>9</v>
      </c>
      <c r="D147" s="13" t="s">
        <v>13</v>
      </c>
      <c r="E147" s="13">
        <v>2019</v>
      </c>
      <c r="F147" s="13">
        <v>12.9517714285714</v>
      </c>
      <c r="G147" s="13" t="s">
        <v>48</v>
      </c>
    </row>
    <row r="148" spans="1:7">
      <c r="A148" s="13">
        <v>489</v>
      </c>
      <c r="B148" s="13" t="s">
        <v>40</v>
      </c>
      <c r="C148" s="13" t="s">
        <v>9</v>
      </c>
      <c r="D148" s="13" t="s">
        <v>13</v>
      </c>
      <c r="E148" s="13">
        <v>2022</v>
      </c>
      <c r="F148" s="13">
        <v>15.164166666666601</v>
      </c>
      <c r="G148" s="13" t="s">
        <v>48</v>
      </c>
    </row>
    <row r="149" spans="1:7">
      <c r="A149" s="13">
        <v>348</v>
      </c>
      <c r="B149" s="13" t="s">
        <v>40</v>
      </c>
      <c r="C149" s="13" t="s">
        <v>9</v>
      </c>
      <c r="D149" s="13" t="s">
        <v>13</v>
      </c>
      <c r="E149" s="13">
        <v>2021</v>
      </c>
      <c r="F149" s="13">
        <v>14.7222857142857</v>
      </c>
      <c r="G149" s="13" t="s">
        <v>48</v>
      </c>
    </row>
    <row r="150" spans="1:7">
      <c r="A150" s="13">
        <v>1</v>
      </c>
      <c r="B150" s="13" t="s">
        <v>40</v>
      </c>
      <c r="C150" s="13" t="s">
        <v>9</v>
      </c>
      <c r="D150" s="13" t="s">
        <v>11</v>
      </c>
      <c r="E150" s="13">
        <v>2017</v>
      </c>
      <c r="F150" s="13">
        <v>6.0950666666666597</v>
      </c>
      <c r="G150" s="13" t="s">
        <v>47</v>
      </c>
    </row>
    <row r="151" spans="1:7">
      <c r="A151" s="13">
        <v>116</v>
      </c>
      <c r="B151" s="13" t="s">
        <v>40</v>
      </c>
      <c r="C151" s="13" t="s">
        <v>9</v>
      </c>
      <c r="D151" s="13" t="s">
        <v>11</v>
      </c>
      <c r="E151" s="13">
        <v>2018</v>
      </c>
      <c r="F151" s="13">
        <v>10.991130864197499</v>
      </c>
      <c r="G151" s="13" t="s">
        <v>48</v>
      </c>
    </row>
    <row r="152" spans="1:7">
      <c r="A152" s="13">
        <v>69</v>
      </c>
      <c r="B152" s="13" t="s">
        <v>40</v>
      </c>
      <c r="C152" s="13" t="s">
        <v>9</v>
      </c>
      <c r="D152" s="13" t="s">
        <v>11</v>
      </c>
      <c r="E152" s="13">
        <v>2018</v>
      </c>
      <c r="F152" s="13">
        <v>11.4046913580246</v>
      </c>
      <c r="G152" s="13" t="s">
        <v>48</v>
      </c>
    </row>
    <row r="153" spans="1:7">
      <c r="A153" s="13">
        <v>72</v>
      </c>
      <c r="B153" s="13" t="s">
        <v>40</v>
      </c>
      <c r="C153" s="13" t="s">
        <v>9</v>
      </c>
      <c r="D153" s="13" t="s">
        <v>11</v>
      </c>
      <c r="E153" s="13">
        <v>2018</v>
      </c>
      <c r="F153" s="13">
        <v>13.687153623188401</v>
      </c>
      <c r="G153" s="13" t="s">
        <v>48</v>
      </c>
    </row>
    <row r="154" spans="1:7">
      <c r="A154" s="13">
        <v>114</v>
      </c>
      <c r="B154" s="13" t="s">
        <v>40</v>
      </c>
      <c r="C154" s="13" t="s">
        <v>9</v>
      </c>
      <c r="D154" s="13" t="s">
        <v>13</v>
      </c>
      <c r="E154" s="13">
        <v>2018</v>
      </c>
      <c r="F154" s="13">
        <v>13.480639999999999</v>
      </c>
      <c r="G154" s="13" t="s">
        <v>48</v>
      </c>
    </row>
    <row r="155" spans="1:7">
      <c r="A155" s="13">
        <v>274</v>
      </c>
      <c r="B155" s="13" t="s">
        <v>40</v>
      </c>
      <c r="C155" s="13" t="s">
        <v>9</v>
      </c>
      <c r="D155" s="13" t="s">
        <v>11</v>
      </c>
      <c r="E155" s="13">
        <v>2020</v>
      </c>
      <c r="F155" s="13">
        <v>13.941666666666601</v>
      </c>
      <c r="G155" s="13" t="s">
        <v>48</v>
      </c>
    </row>
    <row r="156" spans="1:7">
      <c r="A156" s="13">
        <v>21</v>
      </c>
      <c r="B156" s="13" t="s">
        <v>40</v>
      </c>
      <c r="C156" s="13" t="s">
        <v>9</v>
      </c>
      <c r="D156" s="13" t="s">
        <v>11</v>
      </c>
      <c r="E156" s="13">
        <v>2017</v>
      </c>
      <c r="F156" s="13">
        <v>16.6330158730158</v>
      </c>
      <c r="G156" s="13" t="s">
        <v>48</v>
      </c>
    </row>
    <row r="157" spans="1:7">
      <c r="A157" s="13">
        <v>26</v>
      </c>
      <c r="B157" s="13" t="s">
        <v>40</v>
      </c>
      <c r="C157" s="13" t="s">
        <v>9</v>
      </c>
      <c r="D157" s="13" t="s">
        <v>11</v>
      </c>
      <c r="E157" s="13">
        <v>2017</v>
      </c>
      <c r="F157" s="13">
        <v>14.1213333333333</v>
      </c>
      <c r="G157" s="13" t="s">
        <v>48</v>
      </c>
    </row>
    <row r="158" spans="1:7">
      <c r="A158" s="13">
        <v>106</v>
      </c>
      <c r="B158" s="13" t="s">
        <v>40</v>
      </c>
      <c r="C158" s="13" t="s">
        <v>9</v>
      </c>
      <c r="D158" s="13" t="s">
        <v>11</v>
      </c>
      <c r="E158" s="13">
        <v>2018</v>
      </c>
      <c r="F158" s="13">
        <v>13.604055128205101</v>
      </c>
      <c r="G158" s="13" t="s">
        <v>48</v>
      </c>
    </row>
    <row r="159" spans="1:7">
      <c r="A159" s="13">
        <v>397</v>
      </c>
      <c r="B159" s="13" t="s">
        <v>40</v>
      </c>
      <c r="C159" s="13" t="s">
        <v>16</v>
      </c>
      <c r="D159" s="13" t="s">
        <v>11</v>
      </c>
      <c r="E159" s="13">
        <v>2021</v>
      </c>
      <c r="F159" s="13">
        <v>2.8450000000000002</v>
      </c>
      <c r="G159" s="13" t="s">
        <v>49</v>
      </c>
    </row>
    <row r="160" spans="1:7">
      <c r="A160" s="13">
        <v>445</v>
      </c>
      <c r="B160" s="13" t="s">
        <v>40</v>
      </c>
      <c r="C160" s="13" t="s">
        <v>16</v>
      </c>
      <c r="D160" s="13" t="s">
        <v>11</v>
      </c>
      <c r="E160" s="13">
        <v>2022</v>
      </c>
      <c r="F160" s="13">
        <v>3.4214499999999899</v>
      </c>
      <c r="G160" s="13" t="s">
        <v>49</v>
      </c>
    </row>
    <row r="161" spans="1:7">
      <c r="A161" s="13">
        <v>292</v>
      </c>
      <c r="B161" s="13" t="s">
        <v>40</v>
      </c>
      <c r="C161" s="13" t="s">
        <v>16</v>
      </c>
      <c r="D161" s="13" t="s">
        <v>11</v>
      </c>
      <c r="E161" s="13">
        <v>2021</v>
      </c>
      <c r="F161" s="13">
        <v>5.1156666666666597</v>
      </c>
      <c r="G161" s="13" t="s">
        <v>47</v>
      </c>
    </row>
    <row r="162" spans="1:7">
      <c r="A162" s="13">
        <v>412</v>
      </c>
      <c r="B162" s="13" t="s">
        <v>40</v>
      </c>
      <c r="C162" s="13" t="s">
        <v>16</v>
      </c>
      <c r="D162" s="13" t="s">
        <v>11</v>
      </c>
      <c r="E162" s="13">
        <v>2022</v>
      </c>
      <c r="F162" s="13">
        <v>6.0197761904761897</v>
      </c>
      <c r="G162" s="13" t="s">
        <v>47</v>
      </c>
    </row>
    <row r="163" spans="1:7">
      <c r="A163" s="13">
        <v>442</v>
      </c>
      <c r="B163" s="13" t="s">
        <v>40</v>
      </c>
      <c r="C163" s="13" t="s">
        <v>16</v>
      </c>
      <c r="D163" s="13" t="s">
        <v>11</v>
      </c>
      <c r="E163" s="13">
        <v>2022</v>
      </c>
      <c r="F163" s="13">
        <v>4.3959068965517201</v>
      </c>
      <c r="G163" s="13" t="s">
        <v>49</v>
      </c>
    </row>
    <row r="164" spans="1:7">
      <c r="A164" s="13">
        <v>309</v>
      </c>
      <c r="B164" s="13" t="s">
        <v>40</v>
      </c>
      <c r="C164" s="13" t="s">
        <v>16</v>
      </c>
      <c r="D164" s="13" t="s">
        <v>11</v>
      </c>
      <c r="E164" s="13">
        <v>2021</v>
      </c>
      <c r="F164" s="13">
        <v>5.9619130434782601</v>
      </c>
      <c r="G164" s="13" t="s">
        <v>47</v>
      </c>
    </row>
    <row r="165" spans="1:7">
      <c r="A165" s="13">
        <v>460</v>
      </c>
      <c r="B165" s="13" t="s">
        <v>40</v>
      </c>
      <c r="C165" s="13" t="s">
        <v>16</v>
      </c>
      <c r="D165" s="13" t="s">
        <v>11</v>
      </c>
      <c r="E165" s="13">
        <v>2022</v>
      </c>
      <c r="F165" s="13">
        <v>4.1899515151515097</v>
      </c>
      <c r="G165" s="13" t="s">
        <v>49</v>
      </c>
    </row>
    <row r="166" spans="1:7">
      <c r="A166" s="13">
        <v>444</v>
      </c>
      <c r="B166" s="13" t="s">
        <v>40</v>
      </c>
      <c r="C166" s="13" t="s">
        <v>16</v>
      </c>
      <c r="D166" s="13" t="s">
        <v>11</v>
      </c>
      <c r="E166" s="13">
        <v>2022</v>
      </c>
      <c r="F166" s="13">
        <v>6.9366652173913002</v>
      </c>
      <c r="G166" s="13" t="s">
        <v>47</v>
      </c>
    </row>
    <row r="167" spans="1:7">
      <c r="A167" s="13">
        <v>224</v>
      </c>
      <c r="B167" s="13" t="s">
        <v>40</v>
      </c>
      <c r="C167" s="13" t="s">
        <v>9</v>
      </c>
      <c r="D167" s="13" t="s">
        <v>11</v>
      </c>
      <c r="E167" s="13">
        <v>2019</v>
      </c>
      <c r="F167" s="13">
        <v>9.6727676767676698</v>
      </c>
      <c r="G167" s="13" t="s">
        <v>47</v>
      </c>
    </row>
    <row r="168" spans="1:7">
      <c r="A168" s="13">
        <v>264</v>
      </c>
      <c r="B168" s="13" t="s">
        <v>40</v>
      </c>
      <c r="C168" s="13" t="s">
        <v>9</v>
      </c>
      <c r="D168" s="13" t="s">
        <v>11</v>
      </c>
      <c r="E168" s="13">
        <v>2020</v>
      </c>
      <c r="F168" s="13">
        <v>11.0520161290322</v>
      </c>
      <c r="G168" s="13" t="s">
        <v>48</v>
      </c>
    </row>
    <row r="169" spans="1:7">
      <c r="A169" s="13">
        <v>155</v>
      </c>
      <c r="B169" s="13" t="s">
        <v>40</v>
      </c>
      <c r="C169" s="13" t="s">
        <v>9</v>
      </c>
      <c r="D169" s="13" t="s">
        <v>13</v>
      </c>
      <c r="E169" s="13">
        <v>2019</v>
      </c>
      <c r="F169" s="13">
        <v>13.323928205128199</v>
      </c>
      <c r="G169" s="13" t="s">
        <v>48</v>
      </c>
    </row>
    <row r="170" spans="1:7">
      <c r="A170" s="13">
        <v>241</v>
      </c>
      <c r="B170" s="13" t="s">
        <v>40</v>
      </c>
      <c r="C170" s="13" t="s">
        <v>9</v>
      </c>
      <c r="D170" s="13" t="s">
        <v>11</v>
      </c>
      <c r="E170" s="13">
        <v>2019</v>
      </c>
      <c r="F170" s="13">
        <v>18.324359999999999</v>
      </c>
      <c r="G170" s="13" t="s">
        <v>48</v>
      </c>
    </row>
    <row r="171" spans="1:7">
      <c r="A171" s="13">
        <v>188</v>
      </c>
      <c r="B171" s="13" t="s">
        <v>40</v>
      </c>
      <c r="C171" s="13" t="s">
        <v>9</v>
      </c>
      <c r="D171" s="13" t="s">
        <v>13</v>
      </c>
      <c r="E171" s="13">
        <v>2019</v>
      </c>
      <c r="F171" s="13">
        <v>15.02444</v>
      </c>
      <c r="G171" s="13" t="s">
        <v>48</v>
      </c>
    </row>
    <row r="172" spans="1:7">
      <c r="A172" s="13">
        <v>131</v>
      </c>
      <c r="B172" s="13" t="s">
        <v>40</v>
      </c>
      <c r="C172" s="13" t="s">
        <v>9</v>
      </c>
      <c r="D172" s="13" t="s">
        <v>13</v>
      </c>
      <c r="E172" s="13">
        <v>2019</v>
      </c>
      <c r="F172" s="13">
        <v>20.394378947368399</v>
      </c>
      <c r="G172" s="13" t="s">
        <v>48</v>
      </c>
    </row>
    <row r="173" spans="1:7">
      <c r="A173" s="13">
        <v>164</v>
      </c>
      <c r="B173" s="13" t="s">
        <v>40</v>
      </c>
      <c r="C173" s="13" t="s">
        <v>9</v>
      </c>
      <c r="D173" s="13" t="s">
        <v>13</v>
      </c>
      <c r="E173" s="13">
        <v>2019</v>
      </c>
      <c r="F173" s="13">
        <v>12.0895717948717</v>
      </c>
      <c r="G173" s="13" t="s">
        <v>48</v>
      </c>
    </row>
    <row r="174" spans="1:7">
      <c r="A174" s="13">
        <v>332</v>
      </c>
      <c r="B174" s="13" t="s">
        <v>40</v>
      </c>
      <c r="C174" s="13" t="s">
        <v>9</v>
      </c>
      <c r="D174" s="13" t="s">
        <v>11</v>
      </c>
      <c r="E174" s="13">
        <v>2021</v>
      </c>
      <c r="F174" s="13">
        <v>16.171800000000001</v>
      </c>
      <c r="G174" s="13" t="s">
        <v>48</v>
      </c>
    </row>
    <row r="175" spans="1:7">
      <c r="A175" s="13">
        <v>122</v>
      </c>
      <c r="B175" s="13" t="s">
        <v>40</v>
      </c>
      <c r="C175" s="13" t="s">
        <v>9</v>
      </c>
      <c r="D175" s="13" t="s">
        <v>13</v>
      </c>
      <c r="E175" s="13">
        <v>2019</v>
      </c>
      <c r="F175" s="13">
        <v>13.666399999999999</v>
      </c>
      <c r="G175" s="13" t="s">
        <v>48</v>
      </c>
    </row>
    <row r="176" spans="1:7">
      <c r="A176" s="13">
        <v>320</v>
      </c>
      <c r="B176" s="13" t="s">
        <v>40</v>
      </c>
      <c r="C176" s="13" t="s">
        <v>9</v>
      </c>
      <c r="D176" s="13" t="s">
        <v>13</v>
      </c>
      <c r="E176" s="13">
        <v>2021</v>
      </c>
      <c r="F176" s="13">
        <v>15.602909090909</v>
      </c>
      <c r="G176" s="13" t="s">
        <v>48</v>
      </c>
    </row>
    <row r="177" spans="1:7">
      <c r="A177" s="13">
        <v>142</v>
      </c>
      <c r="B177" s="13" t="s">
        <v>40</v>
      </c>
      <c r="C177" s="13" t="s">
        <v>9</v>
      </c>
      <c r="D177" s="13" t="s">
        <v>13</v>
      </c>
      <c r="E177" s="13">
        <v>2019</v>
      </c>
      <c r="F177" s="13">
        <v>13.884021333333299</v>
      </c>
      <c r="G177" s="13" t="s">
        <v>48</v>
      </c>
    </row>
    <row r="178" spans="1:7">
      <c r="A178" s="13">
        <v>379</v>
      </c>
      <c r="B178" s="13" t="s">
        <v>40</v>
      </c>
      <c r="C178" s="13" t="s">
        <v>9</v>
      </c>
      <c r="D178" s="13" t="s">
        <v>11</v>
      </c>
      <c r="E178" s="13">
        <v>2021</v>
      </c>
      <c r="F178" s="13">
        <v>12.9088888888888</v>
      </c>
      <c r="G178" s="13" t="s">
        <v>48</v>
      </c>
    </row>
    <row r="179" spans="1:7">
      <c r="A179" s="13">
        <v>93</v>
      </c>
      <c r="B179" s="13" t="s">
        <v>40</v>
      </c>
      <c r="C179" s="13" t="s">
        <v>9</v>
      </c>
      <c r="D179" s="13" t="s">
        <v>13</v>
      </c>
      <c r="E179" s="13">
        <v>2018</v>
      </c>
      <c r="F179" s="13">
        <v>17.452520634920599</v>
      </c>
      <c r="G179" s="13" t="s">
        <v>48</v>
      </c>
    </row>
    <row r="180" spans="1:7">
      <c r="A180" s="13">
        <v>318</v>
      </c>
      <c r="B180" s="13" t="s">
        <v>40</v>
      </c>
      <c r="C180" s="13" t="s">
        <v>9</v>
      </c>
      <c r="D180" s="13" t="s">
        <v>11</v>
      </c>
      <c r="E180" s="13">
        <v>2021</v>
      </c>
      <c r="F180" s="13">
        <v>18.429391304347799</v>
      </c>
      <c r="G180" s="13" t="s">
        <v>48</v>
      </c>
    </row>
    <row r="181" spans="1:7">
      <c r="A181" s="13">
        <v>459</v>
      </c>
      <c r="B181" s="13" t="s">
        <v>40</v>
      </c>
      <c r="C181" s="13" t="s">
        <v>9</v>
      </c>
      <c r="D181" s="13" t="s">
        <v>11</v>
      </c>
      <c r="E181" s="13">
        <v>2022</v>
      </c>
      <c r="F181" s="13">
        <v>20.108822727272699</v>
      </c>
      <c r="G181" s="13" t="s">
        <v>48</v>
      </c>
    </row>
    <row r="182" spans="1:7">
      <c r="A182" s="13">
        <v>368</v>
      </c>
      <c r="B182" s="13" t="s">
        <v>40</v>
      </c>
      <c r="C182" s="13" t="s">
        <v>9</v>
      </c>
      <c r="D182" s="13" t="s">
        <v>13</v>
      </c>
      <c r="E182" s="13">
        <v>2021</v>
      </c>
      <c r="F182" s="13">
        <v>10.773199999999999</v>
      </c>
      <c r="G182" s="13" t="s">
        <v>48</v>
      </c>
    </row>
    <row r="183" spans="1:7">
      <c r="A183" s="13">
        <v>434</v>
      </c>
      <c r="B183" s="13" t="s">
        <v>40</v>
      </c>
      <c r="C183" s="13" t="s">
        <v>9</v>
      </c>
      <c r="D183" s="13" t="s">
        <v>13</v>
      </c>
      <c r="E183" s="13">
        <v>2022</v>
      </c>
      <c r="F183" s="13">
        <v>15.109213043478199</v>
      </c>
      <c r="G183" s="13" t="s">
        <v>48</v>
      </c>
    </row>
    <row r="184" spans="1:7">
      <c r="A184" s="13">
        <v>364</v>
      </c>
      <c r="B184" s="13" t="s">
        <v>40</v>
      </c>
      <c r="C184" s="13" t="s">
        <v>20</v>
      </c>
      <c r="D184" s="13" t="s">
        <v>29</v>
      </c>
      <c r="E184" s="13">
        <v>2021</v>
      </c>
      <c r="F184" s="13">
        <v>18.1158</v>
      </c>
      <c r="G184" s="13" t="s">
        <v>48</v>
      </c>
    </row>
    <row r="185" spans="1:7">
      <c r="A185" s="13">
        <v>298</v>
      </c>
      <c r="B185" s="13" t="s">
        <v>40</v>
      </c>
      <c r="C185" s="13" t="s">
        <v>9</v>
      </c>
      <c r="D185" s="13" t="s">
        <v>13</v>
      </c>
      <c r="E185" s="13">
        <v>2021</v>
      </c>
      <c r="F185" s="13">
        <v>21.845411764705801</v>
      </c>
      <c r="G185" s="13" t="s">
        <v>48</v>
      </c>
    </row>
    <row r="186" spans="1:7">
      <c r="A186" s="13">
        <v>362</v>
      </c>
      <c r="B186" s="13" t="s">
        <v>40</v>
      </c>
      <c r="C186" s="13" t="s">
        <v>9</v>
      </c>
      <c r="D186" s="13" t="s">
        <v>13</v>
      </c>
      <c r="E186" s="13">
        <v>2021</v>
      </c>
      <c r="F186" s="13">
        <v>14.395703703703701</v>
      </c>
      <c r="G186" s="13" t="s">
        <v>48</v>
      </c>
    </row>
    <row r="187" spans="1:7">
      <c r="A187" s="13">
        <v>340</v>
      </c>
      <c r="B187" s="13" t="s">
        <v>40</v>
      </c>
      <c r="C187" s="13" t="s">
        <v>9</v>
      </c>
      <c r="D187" s="13" t="s">
        <v>13</v>
      </c>
      <c r="E187" s="13">
        <v>2021</v>
      </c>
      <c r="F187" s="13">
        <v>14.66</v>
      </c>
      <c r="G187" s="13" t="s">
        <v>48</v>
      </c>
    </row>
    <row r="188" spans="1:7">
      <c r="A188" s="13">
        <v>410</v>
      </c>
      <c r="B188" s="13" t="s">
        <v>40</v>
      </c>
      <c r="C188" s="13" t="s">
        <v>9</v>
      </c>
      <c r="D188" s="13" t="s">
        <v>13</v>
      </c>
      <c r="E188" s="13">
        <v>2022</v>
      </c>
      <c r="F188" s="13">
        <v>15.0505142857142</v>
      </c>
      <c r="G188" s="13" t="s">
        <v>48</v>
      </c>
    </row>
    <row r="189" spans="1:7">
      <c r="A189" s="13">
        <v>147</v>
      </c>
      <c r="B189" s="13" t="s">
        <v>40</v>
      </c>
      <c r="C189" s="13" t="s">
        <v>16</v>
      </c>
      <c r="D189" s="13" t="s">
        <v>11</v>
      </c>
      <c r="E189" s="13">
        <v>2019</v>
      </c>
      <c r="F189" s="13">
        <v>4.4679206349206302</v>
      </c>
      <c r="G189" s="13" t="s">
        <v>49</v>
      </c>
    </row>
    <row r="190" spans="1:7">
      <c r="A190" s="13">
        <v>427</v>
      </c>
      <c r="B190" s="13" t="s">
        <v>40</v>
      </c>
      <c r="C190" s="13" t="s">
        <v>16</v>
      </c>
      <c r="D190" s="13" t="s">
        <v>11</v>
      </c>
      <c r="E190" s="13">
        <v>2022</v>
      </c>
      <c r="F190" s="13">
        <v>3.69075925925925</v>
      </c>
      <c r="G190" s="13" t="s">
        <v>49</v>
      </c>
    </row>
    <row r="191" spans="1:7">
      <c r="A191" s="13">
        <v>247</v>
      </c>
      <c r="B191" s="13" t="s">
        <v>40</v>
      </c>
      <c r="C191" s="13" t="s">
        <v>16</v>
      </c>
      <c r="D191" s="13" t="s">
        <v>11</v>
      </c>
      <c r="E191" s="13">
        <v>2019</v>
      </c>
      <c r="F191" s="13">
        <v>4.42846956521739</v>
      </c>
      <c r="G191" s="13" t="s">
        <v>49</v>
      </c>
    </row>
    <row r="192" spans="1:7">
      <c r="A192" s="13">
        <v>227</v>
      </c>
      <c r="B192" s="13" t="s">
        <v>40</v>
      </c>
      <c r="C192" s="13" t="s">
        <v>16</v>
      </c>
      <c r="D192" s="13" t="s">
        <v>11</v>
      </c>
      <c r="E192" s="13">
        <v>2019</v>
      </c>
      <c r="F192" s="13">
        <v>3.9289846153846102</v>
      </c>
      <c r="G192" s="13" t="s">
        <v>49</v>
      </c>
    </row>
    <row r="193" spans="1:7">
      <c r="A193" s="13">
        <v>314</v>
      </c>
      <c r="B193" s="13" t="s">
        <v>40</v>
      </c>
      <c r="C193" s="13" t="s">
        <v>16</v>
      </c>
      <c r="D193" s="13" t="s">
        <v>11</v>
      </c>
      <c r="E193" s="13">
        <v>2021</v>
      </c>
      <c r="F193" s="13">
        <v>4.0899199999999896</v>
      </c>
      <c r="G193" s="13" t="s">
        <v>49</v>
      </c>
    </row>
    <row r="194" spans="1:7">
      <c r="A194" s="13">
        <v>480</v>
      </c>
      <c r="B194" s="13" t="s">
        <v>40</v>
      </c>
      <c r="C194" s="13" t="s">
        <v>16</v>
      </c>
      <c r="D194" s="13" t="s">
        <v>11</v>
      </c>
      <c r="E194" s="13">
        <v>2022</v>
      </c>
      <c r="F194" s="13">
        <v>5.16166666666666</v>
      </c>
      <c r="G194" s="13" t="s">
        <v>47</v>
      </c>
    </row>
    <row r="195" spans="1:7">
      <c r="A195" s="13">
        <v>367</v>
      </c>
      <c r="B195" s="13" t="s">
        <v>40</v>
      </c>
      <c r="C195" s="13" t="s">
        <v>16</v>
      </c>
      <c r="D195" s="13" t="s">
        <v>11</v>
      </c>
      <c r="E195" s="13">
        <v>2021</v>
      </c>
      <c r="F195" s="13">
        <v>4.1822400000000002</v>
      </c>
      <c r="G195" s="13" t="s">
        <v>49</v>
      </c>
    </row>
    <row r="196" spans="1:7">
      <c r="A196" s="13">
        <v>458</v>
      </c>
      <c r="B196" s="13" t="s">
        <v>40</v>
      </c>
      <c r="C196" s="13" t="s">
        <v>16</v>
      </c>
      <c r="D196" s="13" t="s">
        <v>11</v>
      </c>
      <c r="E196" s="13">
        <v>2022</v>
      </c>
      <c r="F196" s="13">
        <v>4.6451359999999999</v>
      </c>
      <c r="G196" s="13" t="s">
        <v>49</v>
      </c>
    </row>
    <row r="197" spans="1:7">
      <c r="A197" s="13">
        <v>244</v>
      </c>
      <c r="B197" s="13" t="s">
        <v>40</v>
      </c>
      <c r="C197" s="13" t="s">
        <v>16</v>
      </c>
      <c r="D197" s="13" t="s">
        <v>11</v>
      </c>
      <c r="E197" s="13">
        <v>2019</v>
      </c>
      <c r="F197" s="13">
        <v>5.5948213333333303</v>
      </c>
      <c r="G197" s="13" t="s">
        <v>47</v>
      </c>
    </row>
    <row r="198" spans="1:7">
      <c r="A198" s="13">
        <v>135</v>
      </c>
      <c r="B198" s="13" t="s">
        <v>40</v>
      </c>
      <c r="C198" s="13" t="s">
        <v>16</v>
      </c>
      <c r="D198" s="13" t="s">
        <v>11</v>
      </c>
      <c r="E198" s="13">
        <v>2019</v>
      </c>
      <c r="F198" s="13">
        <v>6.5092909090909004</v>
      </c>
      <c r="G198" s="13" t="s">
        <v>47</v>
      </c>
    </row>
    <row r="199" spans="1:7">
      <c r="A199" s="13">
        <v>113</v>
      </c>
      <c r="B199" s="13" t="s">
        <v>40</v>
      </c>
      <c r="C199" s="13" t="s">
        <v>9</v>
      </c>
      <c r="D199" s="13" t="s">
        <v>24</v>
      </c>
      <c r="E199" s="13">
        <v>2018</v>
      </c>
      <c r="F199" s="13">
        <v>12.1750192307692</v>
      </c>
      <c r="G199" s="13" t="s">
        <v>48</v>
      </c>
    </row>
    <row r="200" spans="1:7">
      <c r="A200" s="13">
        <v>10</v>
      </c>
      <c r="B200" s="13" t="s">
        <v>40</v>
      </c>
      <c r="C200" s="13" t="s">
        <v>9</v>
      </c>
      <c r="D200" s="13" t="s">
        <v>11</v>
      </c>
      <c r="E200" s="13">
        <v>2017</v>
      </c>
      <c r="F200" s="13">
        <v>12.3643589743589</v>
      </c>
      <c r="G200" s="13" t="s">
        <v>48</v>
      </c>
    </row>
    <row r="201" spans="1:7">
      <c r="A201" s="13">
        <v>24</v>
      </c>
      <c r="B201" s="13" t="s">
        <v>40</v>
      </c>
      <c r="C201" s="13" t="s">
        <v>9</v>
      </c>
      <c r="D201" s="13" t="s">
        <v>11</v>
      </c>
      <c r="E201" s="13">
        <v>2017</v>
      </c>
      <c r="F201" s="13">
        <v>16.300999999999998</v>
      </c>
      <c r="G201" s="13" t="s">
        <v>48</v>
      </c>
    </row>
    <row r="202" spans="1:7">
      <c r="A202" s="13">
        <v>20</v>
      </c>
      <c r="B202" s="13" t="s">
        <v>40</v>
      </c>
      <c r="C202" s="13" t="s">
        <v>9</v>
      </c>
      <c r="D202" s="13" t="s">
        <v>13</v>
      </c>
      <c r="E202" s="13">
        <v>2017</v>
      </c>
      <c r="F202" s="13">
        <v>10.7363440860215</v>
      </c>
      <c r="G202" s="13" t="s">
        <v>48</v>
      </c>
    </row>
    <row r="203" spans="1:7">
      <c r="A203" s="13">
        <v>50</v>
      </c>
      <c r="B203" s="13" t="s">
        <v>40</v>
      </c>
      <c r="C203" s="13" t="s">
        <v>9</v>
      </c>
      <c r="D203" s="13" t="s">
        <v>11</v>
      </c>
      <c r="E203" s="13">
        <v>2018</v>
      </c>
      <c r="F203" s="13">
        <v>12.53525</v>
      </c>
      <c r="G203" s="13" t="s">
        <v>48</v>
      </c>
    </row>
    <row r="204" spans="1:7">
      <c r="A204" s="13">
        <v>52</v>
      </c>
      <c r="B204" s="13" t="s">
        <v>40</v>
      </c>
      <c r="C204" s="13" t="s">
        <v>9</v>
      </c>
      <c r="D204" s="13" t="s">
        <v>11</v>
      </c>
      <c r="E204" s="13">
        <v>2018</v>
      </c>
      <c r="F204" s="13">
        <v>11.73432</v>
      </c>
      <c r="G204" s="13" t="s">
        <v>48</v>
      </c>
    </row>
    <row r="205" spans="1:7">
      <c r="A205" s="13">
        <v>59</v>
      </c>
      <c r="B205" s="13" t="s">
        <v>40</v>
      </c>
      <c r="C205" s="13" t="s">
        <v>9</v>
      </c>
      <c r="D205" s="13" t="s">
        <v>11</v>
      </c>
      <c r="E205" s="13">
        <v>2018</v>
      </c>
      <c r="F205" s="13">
        <v>12.2444111111111</v>
      </c>
      <c r="G205" s="13" t="s">
        <v>48</v>
      </c>
    </row>
    <row r="206" spans="1:7">
      <c r="A206" s="13">
        <v>62</v>
      </c>
      <c r="B206" s="13" t="s">
        <v>40</v>
      </c>
      <c r="C206" s="13" t="s">
        <v>9</v>
      </c>
      <c r="D206" s="13" t="s">
        <v>13</v>
      </c>
      <c r="E206" s="13">
        <v>2018</v>
      </c>
      <c r="F206" s="13">
        <v>10.724</v>
      </c>
      <c r="G206" s="13" t="s">
        <v>48</v>
      </c>
    </row>
    <row r="207" spans="1:7">
      <c r="A207" s="13">
        <v>84</v>
      </c>
      <c r="B207" s="13" t="s">
        <v>40</v>
      </c>
      <c r="C207" s="13" t="s">
        <v>9</v>
      </c>
      <c r="D207" s="13" t="s">
        <v>13</v>
      </c>
      <c r="E207" s="13">
        <v>2018</v>
      </c>
      <c r="F207" s="13">
        <v>11.3594666666666</v>
      </c>
      <c r="G207" s="13" t="s">
        <v>48</v>
      </c>
    </row>
    <row r="208" spans="1:7">
      <c r="A208" s="13">
        <v>70</v>
      </c>
      <c r="B208" s="13" t="s">
        <v>40</v>
      </c>
      <c r="C208" s="13" t="s">
        <v>9</v>
      </c>
      <c r="D208" s="13" t="s">
        <v>13</v>
      </c>
      <c r="E208" s="13">
        <v>2018</v>
      </c>
      <c r="F208" s="13">
        <v>17.784868627450901</v>
      </c>
      <c r="G208" s="13" t="s">
        <v>48</v>
      </c>
    </row>
    <row r="209" spans="1:7">
      <c r="A209" s="13">
        <v>138</v>
      </c>
      <c r="B209" s="13" t="s">
        <v>40</v>
      </c>
      <c r="C209" s="13" t="s">
        <v>9</v>
      </c>
      <c r="D209" s="13" t="s">
        <v>13</v>
      </c>
      <c r="E209" s="13">
        <v>2019</v>
      </c>
      <c r="F209" s="13">
        <v>8.0741368421052595</v>
      </c>
      <c r="G209" s="13" t="s">
        <v>47</v>
      </c>
    </row>
    <row r="210" spans="1:7">
      <c r="A210" s="13">
        <v>179</v>
      </c>
      <c r="B210" s="13" t="s">
        <v>40</v>
      </c>
      <c r="C210" s="13" t="s">
        <v>9</v>
      </c>
      <c r="D210" s="13" t="s">
        <v>13</v>
      </c>
      <c r="E210" s="13">
        <v>2019</v>
      </c>
      <c r="F210" s="13">
        <v>16.806505263157799</v>
      </c>
      <c r="G210" s="13" t="s">
        <v>48</v>
      </c>
    </row>
    <row r="211" spans="1:7">
      <c r="A211" s="13">
        <v>167</v>
      </c>
      <c r="B211" s="13" t="s">
        <v>40</v>
      </c>
      <c r="C211" s="13" t="s">
        <v>9</v>
      </c>
      <c r="D211" s="13" t="s">
        <v>11</v>
      </c>
      <c r="E211" s="13">
        <v>2019</v>
      </c>
      <c r="F211" s="13">
        <v>10.322012903225801</v>
      </c>
      <c r="G211" s="13" t="s">
        <v>48</v>
      </c>
    </row>
    <row r="212" spans="1:7">
      <c r="A212" s="13">
        <v>152</v>
      </c>
      <c r="B212" s="13" t="s">
        <v>40</v>
      </c>
      <c r="C212" s="13" t="s">
        <v>9</v>
      </c>
      <c r="D212" s="13" t="s">
        <v>11</v>
      </c>
      <c r="E212" s="13">
        <v>2019</v>
      </c>
      <c r="F212" s="13">
        <v>15.568166666666601</v>
      </c>
      <c r="G212" s="13" t="s">
        <v>48</v>
      </c>
    </row>
    <row r="213" spans="1:7">
      <c r="A213" s="13">
        <v>250</v>
      </c>
      <c r="B213" s="13" t="s">
        <v>40</v>
      </c>
      <c r="C213" s="13" t="s">
        <v>9</v>
      </c>
      <c r="D213" s="13" t="s">
        <v>13</v>
      </c>
      <c r="E213" s="13">
        <v>2019</v>
      </c>
      <c r="F213" s="13">
        <v>19.9818</v>
      </c>
      <c r="G213" s="13" t="s">
        <v>48</v>
      </c>
    </row>
    <row r="214" spans="1:7">
      <c r="A214" s="13">
        <v>111</v>
      </c>
      <c r="B214" s="13" t="s">
        <v>40</v>
      </c>
      <c r="C214" s="13" t="s">
        <v>9</v>
      </c>
      <c r="D214" s="13" t="s">
        <v>13</v>
      </c>
      <c r="E214" s="13">
        <v>2018</v>
      </c>
      <c r="F214" s="13">
        <v>16.490727272727199</v>
      </c>
      <c r="G214" s="13" t="s">
        <v>48</v>
      </c>
    </row>
    <row r="215" spans="1:7">
      <c r="A215" s="13">
        <v>44</v>
      </c>
      <c r="B215" s="13" t="s">
        <v>40</v>
      </c>
      <c r="C215" s="13" t="s">
        <v>9</v>
      </c>
      <c r="D215" s="13" t="s">
        <v>13</v>
      </c>
      <c r="E215" s="13">
        <v>2018</v>
      </c>
      <c r="F215" s="13">
        <v>16.040652173912999</v>
      </c>
      <c r="G215" s="13" t="s">
        <v>48</v>
      </c>
    </row>
    <row r="216" spans="1:7">
      <c r="A216" s="13">
        <v>168</v>
      </c>
      <c r="B216" s="13" t="s">
        <v>40</v>
      </c>
      <c r="C216" s="13" t="s">
        <v>9</v>
      </c>
      <c r="D216" s="13" t="s">
        <v>11</v>
      </c>
      <c r="E216" s="13">
        <v>2019</v>
      </c>
      <c r="F216" s="13">
        <v>13.4782785714285</v>
      </c>
      <c r="G216" s="13" t="s">
        <v>48</v>
      </c>
    </row>
    <row r="217" spans="1:7">
      <c r="A217" s="13">
        <v>197</v>
      </c>
      <c r="B217" s="13" t="s">
        <v>40</v>
      </c>
      <c r="C217" s="13" t="s">
        <v>9</v>
      </c>
      <c r="D217" s="13" t="s">
        <v>11</v>
      </c>
      <c r="E217" s="13">
        <v>2019</v>
      </c>
      <c r="F217" s="13">
        <v>15.368304</v>
      </c>
      <c r="G217" s="13" t="s">
        <v>48</v>
      </c>
    </row>
    <row r="218" spans="1:7">
      <c r="A218" s="13">
        <v>472</v>
      </c>
      <c r="B218" s="13" t="s">
        <v>40</v>
      </c>
      <c r="C218" s="13" t="s">
        <v>9</v>
      </c>
      <c r="D218" s="13" t="s">
        <v>24</v>
      </c>
      <c r="E218" s="13">
        <v>2022</v>
      </c>
      <c r="F218" s="13">
        <v>16.2807291666666</v>
      </c>
      <c r="G218" s="13" t="s">
        <v>48</v>
      </c>
    </row>
    <row r="219" spans="1:7">
      <c r="A219" s="13">
        <v>404</v>
      </c>
      <c r="B219" s="13" t="s">
        <v>40</v>
      </c>
      <c r="C219" s="13" t="s">
        <v>16</v>
      </c>
      <c r="D219" s="13" t="s">
        <v>11</v>
      </c>
      <c r="E219" s="13">
        <v>2021</v>
      </c>
      <c r="F219" s="13">
        <v>3.2953600000000001</v>
      </c>
      <c r="G219" s="13" t="s">
        <v>49</v>
      </c>
    </row>
    <row r="220" spans="1:7">
      <c r="A220" s="13">
        <v>288</v>
      </c>
      <c r="B220" s="13" t="s">
        <v>40</v>
      </c>
      <c r="C220" s="13" t="s">
        <v>16</v>
      </c>
      <c r="D220" s="13" t="s">
        <v>11</v>
      </c>
      <c r="E220" s="13">
        <v>2021</v>
      </c>
      <c r="F220" s="13">
        <v>3.44224</v>
      </c>
      <c r="G220" s="13" t="s">
        <v>49</v>
      </c>
    </row>
    <row r="221" spans="1:7">
      <c r="A221" s="13">
        <v>350</v>
      </c>
      <c r="B221" s="13" t="s">
        <v>40</v>
      </c>
      <c r="C221" s="13" t="s">
        <v>16</v>
      </c>
      <c r="D221" s="13" t="s">
        <v>11</v>
      </c>
      <c r="E221" s="13">
        <v>2021</v>
      </c>
      <c r="F221" s="13">
        <v>3.6352000000000002</v>
      </c>
      <c r="G221" s="13" t="s">
        <v>49</v>
      </c>
    </row>
    <row r="222" spans="1:7">
      <c r="A222" s="13">
        <v>285</v>
      </c>
      <c r="B222" s="13" t="s">
        <v>40</v>
      </c>
      <c r="C222" s="13" t="s">
        <v>16</v>
      </c>
      <c r="D222" s="13" t="s">
        <v>11</v>
      </c>
      <c r="E222" s="13">
        <v>2021</v>
      </c>
      <c r="F222" s="13">
        <v>5.4033649122806997</v>
      </c>
      <c r="G222" s="13" t="s">
        <v>47</v>
      </c>
    </row>
    <row r="223" spans="1:7">
      <c r="A223" s="13">
        <v>386</v>
      </c>
      <c r="B223" s="13" t="s">
        <v>40</v>
      </c>
      <c r="C223" s="13" t="s">
        <v>16</v>
      </c>
      <c r="D223" s="13" t="s">
        <v>11</v>
      </c>
      <c r="E223" s="13">
        <v>2021</v>
      </c>
      <c r="F223" s="13">
        <v>5.2236190476190396</v>
      </c>
      <c r="G223" s="13" t="s">
        <v>47</v>
      </c>
    </row>
    <row r="224" spans="1:7">
      <c r="A224" s="13">
        <v>466</v>
      </c>
      <c r="B224" s="13" t="s">
        <v>40</v>
      </c>
      <c r="C224" s="13" t="s">
        <v>16</v>
      </c>
      <c r="D224" s="13" t="s">
        <v>11</v>
      </c>
      <c r="E224" s="13">
        <v>2022</v>
      </c>
      <c r="F224" s="13">
        <v>4.5723958333333297</v>
      </c>
      <c r="G224" s="13" t="s">
        <v>49</v>
      </c>
    </row>
    <row r="225" spans="1:7">
      <c r="A225" s="13">
        <v>358</v>
      </c>
      <c r="B225" s="13" t="s">
        <v>40</v>
      </c>
      <c r="C225" s="13" t="s">
        <v>16</v>
      </c>
      <c r="D225" s="13" t="s">
        <v>11</v>
      </c>
      <c r="E225" s="13">
        <v>2021</v>
      </c>
      <c r="F225" s="13">
        <v>4.2737931034482699</v>
      </c>
      <c r="G225" s="13" t="s">
        <v>49</v>
      </c>
    </row>
    <row r="226" spans="1:7">
      <c r="A226" s="13">
        <v>437</v>
      </c>
      <c r="B226" s="13" t="s">
        <v>40</v>
      </c>
      <c r="C226" s="13" t="s">
        <v>16</v>
      </c>
      <c r="D226" s="13" t="s">
        <v>11</v>
      </c>
      <c r="E226" s="13">
        <v>2022</v>
      </c>
      <c r="F226" s="13">
        <v>4.8968192307692302</v>
      </c>
      <c r="G226" s="13" t="s">
        <v>49</v>
      </c>
    </row>
    <row r="227" spans="1:7">
      <c r="A227" s="13">
        <v>356</v>
      </c>
      <c r="B227" s="13" t="s">
        <v>40</v>
      </c>
      <c r="C227" s="13" t="s">
        <v>16</v>
      </c>
      <c r="D227" s="13" t="s">
        <v>13</v>
      </c>
      <c r="E227" s="13">
        <v>2021</v>
      </c>
      <c r="F227" s="13">
        <v>6.75557894736842</v>
      </c>
      <c r="G227" s="13" t="s">
        <v>47</v>
      </c>
    </row>
    <row r="228" spans="1:7">
      <c r="A228" s="13">
        <v>336</v>
      </c>
      <c r="B228" s="13" t="s">
        <v>40</v>
      </c>
      <c r="C228" s="13" t="s">
        <v>16</v>
      </c>
      <c r="D228" s="13" t="s">
        <v>11</v>
      </c>
      <c r="E228" s="13">
        <v>2021</v>
      </c>
      <c r="F228" s="13">
        <v>4.9595384615384601</v>
      </c>
      <c r="G228" s="13" t="s">
        <v>49</v>
      </c>
    </row>
    <row r="229" spans="1:7">
      <c r="A229" s="13">
        <v>462</v>
      </c>
      <c r="B229" s="13" t="s">
        <v>40</v>
      </c>
      <c r="C229" s="13" t="s">
        <v>16</v>
      </c>
      <c r="D229" s="13" t="s">
        <v>11</v>
      </c>
      <c r="E229" s="13">
        <v>2022</v>
      </c>
      <c r="F229" s="13">
        <v>4.9637820512820499</v>
      </c>
      <c r="G229" s="13" t="s">
        <v>49</v>
      </c>
    </row>
    <row r="230" spans="1:7">
      <c r="A230" s="13">
        <v>331</v>
      </c>
      <c r="B230" s="13" t="s">
        <v>40</v>
      </c>
      <c r="C230" s="13" t="s">
        <v>16</v>
      </c>
      <c r="D230" s="13" t="s">
        <v>11</v>
      </c>
      <c r="E230" s="13">
        <v>2021</v>
      </c>
      <c r="F230" s="13">
        <v>4.4325333333333301</v>
      </c>
      <c r="G230" s="13" t="s">
        <v>49</v>
      </c>
    </row>
    <row r="231" spans="1:7">
      <c r="A231" s="13">
        <v>490</v>
      </c>
      <c r="B231" s="13" t="s">
        <v>40</v>
      </c>
      <c r="C231" s="13" t="s">
        <v>16</v>
      </c>
      <c r="D231" s="13" t="s">
        <v>11</v>
      </c>
      <c r="E231" s="13">
        <v>2022</v>
      </c>
      <c r="F231" s="13">
        <v>6.6920833333333301</v>
      </c>
      <c r="G231" s="13" t="s">
        <v>47</v>
      </c>
    </row>
    <row r="232" spans="1:7">
      <c r="A232" s="13">
        <v>416</v>
      </c>
      <c r="B232" s="13" t="s">
        <v>40</v>
      </c>
      <c r="C232" s="13" t="s">
        <v>16</v>
      </c>
      <c r="D232" s="13" t="s">
        <v>13</v>
      </c>
      <c r="E232" s="13">
        <v>2022</v>
      </c>
      <c r="F232" s="13">
        <v>4.8278206896551703</v>
      </c>
      <c r="G232" s="13" t="s">
        <v>49</v>
      </c>
    </row>
    <row r="233" spans="1:7">
      <c r="A233" s="13">
        <v>360</v>
      </c>
      <c r="B233" s="13" t="s">
        <v>40</v>
      </c>
      <c r="C233" s="13" t="s">
        <v>16</v>
      </c>
      <c r="D233" s="13" t="s">
        <v>11</v>
      </c>
      <c r="E233" s="13">
        <v>2021</v>
      </c>
      <c r="F233" s="13">
        <v>5.0797142857142799</v>
      </c>
      <c r="G233" s="13" t="s">
        <v>47</v>
      </c>
    </row>
    <row r="234" spans="1:7">
      <c r="A234" s="13">
        <v>494</v>
      </c>
      <c r="B234" s="13" t="s">
        <v>40</v>
      </c>
      <c r="C234" s="13" t="s">
        <v>16</v>
      </c>
      <c r="D234" s="13" t="s">
        <v>11</v>
      </c>
      <c r="E234" s="13">
        <v>2022</v>
      </c>
      <c r="F234" s="13">
        <v>3.7956196581196502</v>
      </c>
      <c r="G234" s="13" t="s">
        <v>49</v>
      </c>
    </row>
    <row r="235" spans="1:7">
      <c r="A235" s="13">
        <v>381</v>
      </c>
      <c r="B235" s="13" t="s">
        <v>40</v>
      </c>
      <c r="C235" s="13" t="s">
        <v>16</v>
      </c>
      <c r="D235" s="13" t="s">
        <v>11</v>
      </c>
      <c r="E235" s="13">
        <v>2021</v>
      </c>
      <c r="F235" s="13">
        <v>7.3841904761904704</v>
      </c>
      <c r="G235" s="13" t="s">
        <v>47</v>
      </c>
    </row>
    <row r="236" spans="1:7">
      <c r="A236" s="13">
        <v>441</v>
      </c>
      <c r="B236" s="13" t="s">
        <v>40</v>
      </c>
      <c r="C236" s="13" t="s">
        <v>16</v>
      </c>
      <c r="D236" s="13" t="s">
        <v>11</v>
      </c>
      <c r="E236" s="13">
        <v>2022</v>
      </c>
      <c r="F236" s="13">
        <v>5.9735423076923002</v>
      </c>
      <c r="G236" s="13" t="s">
        <v>47</v>
      </c>
    </row>
    <row r="237" spans="1:7">
      <c r="A237" s="13">
        <v>232</v>
      </c>
      <c r="B237" s="13" t="s">
        <v>40</v>
      </c>
      <c r="C237" s="13" t="s">
        <v>9</v>
      </c>
      <c r="D237" s="13" t="s">
        <v>13</v>
      </c>
      <c r="E237" s="13">
        <v>2019</v>
      </c>
      <c r="F237" s="13">
        <v>13.5924923076923</v>
      </c>
      <c r="G237" s="13" t="s">
        <v>48</v>
      </c>
    </row>
    <row r="238" spans="1:7">
      <c r="A238" s="13">
        <v>189</v>
      </c>
      <c r="B238" s="13" t="s">
        <v>40</v>
      </c>
      <c r="C238" s="13" t="s">
        <v>9</v>
      </c>
      <c r="D238" s="13" t="s">
        <v>13</v>
      </c>
      <c r="E238" s="13">
        <v>2019</v>
      </c>
      <c r="F238" s="13">
        <v>18.687446666666599</v>
      </c>
      <c r="G238" s="13" t="s">
        <v>48</v>
      </c>
    </row>
    <row r="239" spans="1:7">
      <c r="A239" s="13">
        <v>61</v>
      </c>
      <c r="B239" s="13" t="s">
        <v>40</v>
      </c>
      <c r="C239" s="13" t="s">
        <v>16</v>
      </c>
      <c r="D239" s="13" t="s">
        <v>11</v>
      </c>
      <c r="E239" s="13">
        <v>2018</v>
      </c>
      <c r="F239" s="13">
        <v>4.0460000000000003</v>
      </c>
      <c r="G239" s="13" t="s">
        <v>49</v>
      </c>
    </row>
    <row r="240" spans="1:7">
      <c r="A240" s="13">
        <v>56</v>
      </c>
      <c r="B240" s="13" t="s">
        <v>40</v>
      </c>
      <c r="C240" s="13" t="s">
        <v>16</v>
      </c>
      <c r="D240" s="13" t="s">
        <v>11</v>
      </c>
      <c r="E240" s="13">
        <v>2018</v>
      </c>
      <c r="F240" s="13">
        <v>4.0599393939393904</v>
      </c>
      <c r="G240" s="13" t="s">
        <v>49</v>
      </c>
    </row>
    <row r="241" spans="1:7">
      <c r="A241" s="13">
        <v>161</v>
      </c>
      <c r="B241" s="13" t="s">
        <v>40</v>
      </c>
      <c r="C241" s="13" t="s">
        <v>16</v>
      </c>
      <c r="D241" s="13" t="s">
        <v>11</v>
      </c>
      <c r="E241" s="13">
        <v>2019</v>
      </c>
      <c r="F241" s="13">
        <v>4.7811923076923</v>
      </c>
      <c r="G241" s="13" t="s">
        <v>49</v>
      </c>
    </row>
    <row r="242" spans="1:7">
      <c r="A242" s="13">
        <v>97</v>
      </c>
      <c r="B242" s="13" t="s">
        <v>40</v>
      </c>
      <c r="C242" s="13" t="s">
        <v>16</v>
      </c>
      <c r="D242" s="13" t="s">
        <v>11</v>
      </c>
      <c r="E242" s="13">
        <v>2018</v>
      </c>
      <c r="F242" s="13">
        <v>4.9803600000000001</v>
      </c>
      <c r="G242" s="13" t="s">
        <v>49</v>
      </c>
    </row>
    <row r="243" spans="1:7">
      <c r="A243" s="13">
        <v>272</v>
      </c>
      <c r="B243" s="13" t="s">
        <v>40</v>
      </c>
      <c r="C243" s="13" t="s">
        <v>16</v>
      </c>
      <c r="D243" s="13" t="s">
        <v>11</v>
      </c>
      <c r="E243" s="13">
        <v>2020</v>
      </c>
      <c r="F243" s="13">
        <v>5.7427536231884</v>
      </c>
      <c r="G243" s="13" t="s">
        <v>47</v>
      </c>
    </row>
    <row r="244" spans="1:7">
      <c r="A244" s="13">
        <v>242</v>
      </c>
      <c r="B244" s="13" t="s">
        <v>40</v>
      </c>
      <c r="C244" s="13" t="s">
        <v>20</v>
      </c>
      <c r="D244" s="13" t="s">
        <v>21</v>
      </c>
      <c r="E244" s="13">
        <v>2019</v>
      </c>
      <c r="F244" s="13">
        <v>13.418752</v>
      </c>
      <c r="G244" s="13" t="s">
        <v>48</v>
      </c>
    </row>
    <row r="245" spans="1:7">
      <c r="A245" s="13">
        <v>101</v>
      </c>
      <c r="B245" s="13" t="s">
        <v>40</v>
      </c>
      <c r="C245" s="13" t="s">
        <v>20</v>
      </c>
      <c r="D245" s="13" t="s">
        <v>21</v>
      </c>
      <c r="E245" s="13">
        <v>2018</v>
      </c>
      <c r="F245" s="13">
        <v>11.0445833333333</v>
      </c>
      <c r="G245" s="13" t="s">
        <v>48</v>
      </c>
    </row>
    <row r="246" spans="1:7">
      <c r="A246" s="13">
        <v>196</v>
      </c>
      <c r="B246" s="13" t="s">
        <v>40</v>
      </c>
      <c r="C246" s="13" t="s">
        <v>20</v>
      </c>
      <c r="D246" s="13" t="s">
        <v>21</v>
      </c>
      <c r="E246" s="13">
        <v>2019</v>
      </c>
      <c r="F246" s="13">
        <v>16.1359303030303</v>
      </c>
      <c r="G246" s="13" t="s">
        <v>48</v>
      </c>
    </row>
    <row r="247" spans="1:7">
      <c r="A247" s="13">
        <v>398</v>
      </c>
      <c r="B247" s="13" t="s">
        <v>40</v>
      </c>
      <c r="C247" s="13" t="s">
        <v>9</v>
      </c>
      <c r="D247" s="13" t="s">
        <v>13</v>
      </c>
      <c r="E247" s="13">
        <v>2021</v>
      </c>
      <c r="F247" s="13">
        <v>13.8953846153846</v>
      </c>
      <c r="G247" s="13" t="s">
        <v>48</v>
      </c>
    </row>
    <row r="248" spans="1:7">
      <c r="A248" s="13">
        <v>422</v>
      </c>
      <c r="B248" s="13" t="s">
        <v>40</v>
      </c>
      <c r="C248" s="13" t="s">
        <v>9</v>
      </c>
      <c r="D248" s="13" t="s">
        <v>13</v>
      </c>
      <c r="E248" s="13">
        <v>2022</v>
      </c>
      <c r="F248" s="13">
        <v>11.0524818181818</v>
      </c>
      <c r="G248" s="13" t="s">
        <v>48</v>
      </c>
    </row>
    <row r="249" spans="1:7">
      <c r="A249" s="13">
        <v>440</v>
      </c>
      <c r="B249" s="13" t="s">
        <v>40</v>
      </c>
      <c r="C249" s="13" t="s">
        <v>9</v>
      </c>
      <c r="D249" s="13" t="s">
        <v>13</v>
      </c>
      <c r="E249" s="13">
        <v>2022</v>
      </c>
      <c r="F249" s="13">
        <v>12.3231942857142</v>
      </c>
      <c r="G249" s="13" t="s">
        <v>48</v>
      </c>
    </row>
    <row r="250" spans="1:7">
      <c r="A250" s="13">
        <v>365</v>
      </c>
      <c r="B250" s="13" t="s">
        <v>40</v>
      </c>
      <c r="C250" s="13" t="s">
        <v>16</v>
      </c>
      <c r="D250" s="13" t="s">
        <v>11</v>
      </c>
      <c r="E250" s="13">
        <v>2021</v>
      </c>
      <c r="F250" s="13">
        <v>4.0439999999999996</v>
      </c>
      <c r="G250" s="13" t="s">
        <v>49</v>
      </c>
    </row>
    <row r="251" spans="1:7">
      <c r="A251" s="13">
        <v>305</v>
      </c>
      <c r="B251" s="13" t="s">
        <v>40</v>
      </c>
      <c r="C251" s="13" t="s">
        <v>16</v>
      </c>
      <c r="D251" s="13" t="s">
        <v>11</v>
      </c>
      <c r="E251" s="13">
        <v>2021</v>
      </c>
      <c r="F251" s="13">
        <v>4.8493333333333304</v>
      </c>
      <c r="G251" s="13" t="s">
        <v>49</v>
      </c>
    </row>
    <row r="252" spans="1:7">
      <c r="A252" s="13">
        <v>349</v>
      </c>
      <c r="B252" s="13" t="s">
        <v>40</v>
      </c>
      <c r="C252" s="13" t="s">
        <v>16</v>
      </c>
      <c r="D252" s="13" t="s">
        <v>11</v>
      </c>
      <c r="E252" s="13">
        <v>2021</v>
      </c>
      <c r="F252" s="13">
        <v>6.3234000000000004</v>
      </c>
      <c r="G252" s="13" t="s">
        <v>47</v>
      </c>
    </row>
    <row r="253" spans="1:7">
      <c r="A253" s="13">
        <v>481</v>
      </c>
      <c r="B253" s="13" t="s">
        <v>40</v>
      </c>
      <c r="C253" s="13" t="s">
        <v>16</v>
      </c>
      <c r="D253" s="13" t="s">
        <v>11</v>
      </c>
      <c r="E253" s="13">
        <v>2022</v>
      </c>
      <c r="F253" s="13">
        <v>5.3419753086419703</v>
      </c>
      <c r="G253" s="13" t="s">
        <v>47</v>
      </c>
    </row>
    <row r="254" spans="1:7">
      <c r="A254" s="13">
        <v>430</v>
      </c>
      <c r="B254" s="13" t="s">
        <v>40</v>
      </c>
      <c r="C254" s="13" t="s">
        <v>16</v>
      </c>
      <c r="D254" s="13" t="s">
        <v>11</v>
      </c>
      <c r="E254" s="13">
        <v>2022</v>
      </c>
      <c r="F254" s="13">
        <v>4.8347199999999999</v>
      </c>
      <c r="G254" s="13" t="s">
        <v>49</v>
      </c>
    </row>
    <row r="255" spans="1:7">
      <c r="A255" s="13">
        <v>493</v>
      </c>
      <c r="B255" s="13" t="s">
        <v>40</v>
      </c>
      <c r="C255" s="13" t="s">
        <v>16</v>
      </c>
      <c r="D255" s="13" t="s">
        <v>11</v>
      </c>
      <c r="E255" s="13">
        <v>2022</v>
      </c>
      <c r="F255" s="13">
        <v>5.5566964285714198</v>
      </c>
      <c r="G255" s="13" t="s">
        <v>47</v>
      </c>
    </row>
    <row r="256" spans="1:7">
      <c r="A256" s="13">
        <v>448</v>
      </c>
      <c r="B256" s="13" t="s">
        <v>40</v>
      </c>
      <c r="C256" s="13" t="s">
        <v>16</v>
      </c>
      <c r="D256" s="13" t="s">
        <v>11</v>
      </c>
      <c r="E256" s="13">
        <v>2022</v>
      </c>
      <c r="F256" s="13">
        <v>6.512276</v>
      </c>
      <c r="G256" s="13" t="s">
        <v>47</v>
      </c>
    </row>
    <row r="257" spans="1:7">
      <c r="A257" s="13">
        <v>461</v>
      </c>
      <c r="B257" s="13" t="s">
        <v>40</v>
      </c>
      <c r="C257" s="13" t="s">
        <v>16</v>
      </c>
      <c r="D257" s="13" t="s">
        <v>11</v>
      </c>
      <c r="E257" s="13">
        <v>2022</v>
      </c>
      <c r="F257" s="13">
        <v>5.2588451612903198</v>
      </c>
      <c r="G257" s="13" t="s">
        <v>47</v>
      </c>
    </row>
    <row r="258" spans="1:7">
      <c r="A258" s="13">
        <v>278</v>
      </c>
      <c r="B258" s="13" t="s">
        <v>40</v>
      </c>
      <c r="C258" s="13" t="s">
        <v>16</v>
      </c>
      <c r="D258" s="13" t="s">
        <v>11</v>
      </c>
      <c r="E258" s="13">
        <v>2021</v>
      </c>
      <c r="F258" s="13">
        <v>3.9699133333333299</v>
      </c>
      <c r="G258" s="13" t="s">
        <v>49</v>
      </c>
    </row>
    <row r="259" spans="1:7">
      <c r="A259" s="13">
        <v>208</v>
      </c>
      <c r="B259" s="13" t="s">
        <v>40</v>
      </c>
      <c r="C259" s="13" t="s">
        <v>16</v>
      </c>
      <c r="D259" s="13" t="s">
        <v>13</v>
      </c>
      <c r="E259" s="13">
        <v>2019</v>
      </c>
      <c r="F259" s="13">
        <v>3.3776307692307599</v>
      </c>
      <c r="G259" s="13" t="s">
        <v>49</v>
      </c>
    </row>
    <row r="260" spans="1:7">
      <c r="A260" s="13">
        <v>497</v>
      </c>
      <c r="B260" s="13" t="s">
        <v>40</v>
      </c>
      <c r="C260" s="13" t="s">
        <v>16</v>
      </c>
      <c r="D260" s="13" t="s">
        <v>11</v>
      </c>
      <c r="E260" s="13">
        <v>2022</v>
      </c>
      <c r="F260" s="13">
        <v>4.1053030303030296</v>
      </c>
      <c r="G260" s="13" t="s">
        <v>49</v>
      </c>
    </row>
    <row r="261" spans="1:7">
      <c r="A261" s="13">
        <v>431</v>
      </c>
      <c r="B261" s="13" t="s">
        <v>40</v>
      </c>
      <c r="C261" s="13" t="s">
        <v>16</v>
      </c>
      <c r="D261" s="13" t="s">
        <v>11</v>
      </c>
      <c r="E261" s="13">
        <v>2022</v>
      </c>
      <c r="F261" s="13">
        <v>3.9331478260869499</v>
      </c>
      <c r="G261" s="13" t="s">
        <v>49</v>
      </c>
    </row>
    <row r="262" spans="1:7">
      <c r="A262" s="13">
        <v>342</v>
      </c>
      <c r="B262" s="13" t="s">
        <v>40</v>
      </c>
      <c r="C262" s="13" t="s">
        <v>16</v>
      </c>
      <c r="D262" s="13" t="s">
        <v>11</v>
      </c>
      <c r="E262" s="13">
        <v>2021</v>
      </c>
      <c r="F262" s="13">
        <v>2.82862499999999</v>
      </c>
      <c r="G262" s="13" t="s">
        <v>49</v>
      </c>
    </row>
    <row r="263" spans="1:7">
      <c r="A263" s="13">
        <v>396</v>
      </c>
      <c r="B263" s="13" t="s">
        <v>40</v>
      </c>
      <c r="C263" s="13" t="s">
        <v>16</v>
      </c>
      <c r="D263" s="13" t="s">
        <v>13</v>
      </c>
      <c r="E263" s="13">
        <v>2021</v>
      </c>
      <c r="F263" s="13">
        <v>3.0582666666666598</v>
      </c>
      <c r="G263" s="13" t="s">
        <v>49</v>
      </c>
    </row>
    <row r="264" spans="1:7">
      <c r="A264" s="13">
        <v>413</v>
      </c>
      <c r="B264" s="13" t="s">
        <v>40</v>
      </c>
      <c r="C264" s="13" t="s">
        <v>16</v>
      </c>
      <c r="D264" s="13" t="s">
        <v>11</v>
      </c>
      <c r="E264" s="13">
        <v>2022</v>
      </c>
      <c r="F264" s="13">
        <v>2.8954696969696898</v>
      </c>
      <c r="G264" s="13" t="s">
        <v>49</v>
      </c>
    </row>
    <row r="265" spans="1:7">
      <c r="A265" s="13">
        <v>145</v>
      </c>
      <c r="B265" s="13" t="s">
        <v>40</v>
      </c>
      <c r="C265" s="13" t="s">
        <v>16</v>
      </c>
      <c r="D265" s="13" t="s">
        <v>11</v>
      </c>
      <c r="E265" s="13">
        <v>2019</v>
      </c>
      <c r="F265" s="13">
        <v>4.3824575757575701</v>
      </c>
      <c r="G265" s="13" t="s">
        <v>49</v>
      </c>
    </row>
    <row r="266" spans="1:7">
      <c r="A266" s="13">
        <v>352</v>
      </c>
      <c r="B266" s="13" t="s">
        <v>40</v>
      </c>
      <c r="C266" s="13" t="s">
        <v>16</v>
      </c>
      <c r="D266" s="13" t="s">
        <v>13</v>
      </c>
      <c r="E266" s="13">
        <v>2021</v>
      </c>
      <c r="F266" s="13">
        <v>4.2583076923076897</v>
      </c>
      <c r="G266" s="13" t="s">
        <v>49</v>
      </c>
    </row>
    <row r="267" spans="1:7">
      <c r="A267" s="13">
        <v>370</v>
      </c>
      <c r="B267" s="13" t="s">
        <v>40</v>
      </c>
      <c r="C267" s="13" t="s">
        <v>16</v>
      </c>
      <c r="D267" s="13" t="s">
        <v>11</v>
      </c>
      <c r="E267" s="13">
        <v>2021</v>
      </c>
      <c r="F267" s="13">
        <v>5.8867368421052602</v>
      </c>
      <c r="G267" s="13" t="s">
        <v>47</v>
      </c>
    </row>
    <row r="268" spans="1:7">
      <c r="A268" s="13">
        <v>157</v>
      </c>
      <c r="B268" s="13" t="s">
        <v>40</v>
      </c>
      <c r="C268" s="13" t="s">
        <v>16</v>
      </c>
      <c r="D268" s="13" t="s">
        <v>11</v>
      </c>
      <c r="E268" s="13">
        <v>2019</v>
      </c>
      <c r="F268" s="13">
        <v>4.5680346666666596</v>
      </c>
      <c r="G268" s="13" t="s">
        <v>49</v>
      </c>
    </row>
    <row r="269" spans="1:7">
      <c r="A269" s="13">
        <v>468</v>
      </c>
      <c r="B269" s="13" t="s">
        <v>40</v>
      </c>
      <c r="C269" s="13" t="s">
        <v>16</v>
      </c>
      <c r="D269" s="13" t="s">
        <v>13</v>
      </c>
      <c r="E269" s="13">
        <v>2022</v>
      </c>
      <c r="F269" s="13">
        <v>5.2744565217391299</v>
      </c>
      <c r="G269" s="13" t="s">
        <v>47</v>
      </c>
    </row>
    <row r="270" spans="1:7">
      <c r="A270" s="13">
        <v>312</v>
      </c>
      <c r="B270" s="13" t="s">
        <v>40</v>
      </c>
      <c r="C270" s="13" t="s">
        <v>16</v>
      </c>
      <c r="D270" s="13" t="s">
        <v>11</v>
      </c>
      <c r="E270" s="13">
        <v>2021</v>
      </c>
      <c r="F270" s="13">
        <v>3.8596249999999999</v>
      </c>
      <c r="G270" s="13" t="s">
        <v>49</v>
      </c>
    </row>
    <row r="271" spans="1:7">
      <c r="A271" s="13">
        <v>463</v>
      </c>
      <c r="B271" s="13" t="s">
        <v>40</v>
      </c>
      <c r="C271" s="13" t="s">
        <v>16</v>
      </c>
      <c r="D271" s="13" t="s">
        <v>11</v>
      </c>
      <c r="E271" s="13">
        <v>2022</v>
      </c>
      <c r="F271" s="13">
        <v>5.8886904761904697</v>
      </c>
      <c r="G271" s="13" t="s">
        <v>47</v>
      </c>
    </row>
    <row r="272" spans="1:7">
      <c r="A272" s="13">
        <v>246</v>
      </c>
      <c r="B272" s="13" t="s">
        <v>40</v>
      </c>
      <c r="C272" s="13" t="s">
        <v>16</v>
      </c>
      <c r="D272" s="13" t="s">
        <v>11</v>
      </c>
      <c r="E272" s="13">
        <v>2019</v>
      </c>
      <c r="F272" s="13">
        <v>5.1529249999999998</v>
      </c>
      <c r="G272" s="13" t="s">
        <v>47</v>
      </c>
    </row>
    <row r="273" spans="1:7">
      <c r="A273" s="13">
        <v>420</v>
      </c>
      <c r="B273" s="13" t="s">
        <v>40</v>
      </c>
      <c r="C273" s="13" t="s">
        <v>16</v>
      </c>
      <c r="D273" s="13" t="s">
        <v>13</v>
      </c>
      <c r="E273" s="13">
        <v>2022</v>
      </c>
      <c r="F273" s="13">
        <v>5.1571166666666599</v>
      </c>
      <c r="G273" s="13" t="s">
        <v>47</v>
      </c>
    </row>
    <row r="274" spans="1:7">
      <c r="A274" s="13">
        <v>409</v>
      </c>
      <c r="B274" s="13" t="s">
        <v>40</v>
      </c>
      <c r="C274" s="13" t="s">
        <v>16</v>
      </c>
      <c r="D274" s="13" t="s">
        <v>11</v>
      </c>
      <c r="E274" s="13">
        <v>2022</v>
      </c>
      <c r="F274" s="13">
        <v>5.9137619047619001</v>
      </c>
      <c r="G274" s="13" t="s">
        <v>47</v>
      </c>
    </row>
    <row r="275" spans="1:7">
      <c r="A275" s="13">
        <v>354</v>
      </c>
      <c r="B275" s="13" t="s">
        <v>40</v>
      </c>
      <c r="C275" s="13" t="s">
        <v>16</v>
      </c>
      <c r="D275" s="13" t="s">
        <v>11</v>
      </c>
      <c r="E275" s="13">
        <v>2021</v>
      </c>
      <c r="F275" s="13">
        <v>4.4964285714285701</v>
      </c>
      <c r="G275" s="13" t="s">
        <v>49</v>
      </c>
    </row>
    <row r="276" spans="1:7">
      <c r="A276" s="13">
        <v>270</v>
      </c>
      <c r="B276" s="13" t="s">
        <v>40</v>
      </c>
      <c r="C276" s="13" t="s">
        <v>16</v>
      </c>
      <c r="D276" s="13" t="s">
        <v>11</v>
      </c>
      <c r="E276" s="13">
        <v>2020</v>
      </c>
      <c r="F276" s="13">
        <v>5.4286458333333298</v>
      </c>
      <c r="G276" s="13" t="s">
        <v>47</v>
      </c>
    </row>
    <row r="277" spans="1:7">
      <c r="A277" s="13">
        <v>169</v>
      </c>
      <c r="B277" s="13" t="s">
        <v>40</v>
      </c>
      <c r="C277" s="13" t="s">
        <v>16</v>
      </c>
      <c r="D277" s="13" t="s">
        <v>13</v>
      </c>
      <c r="E277" s="13">
        <v>2019</v>
      </c>
      <c r="F277" s="13">
        <v>5.0922000000000001</v>
      </c>
      <c r="G277" s="13" t="s">
        <v>47</v>
      </c>
    </row>
    <row r="278" spans="1:7">
      <c r="A278" s="13">
        <v>243</v>
      </c>
      <c r="B278" s="13" t="s">
        <v>40</v>
      </c>
      <c r="C278" s="13" t="s">
        <v>16</v>
      </c>
      <c r="D278" s="13" t="s">
        <v>11</v>
      </c>
      <c r="E278" s="13">
        <v>2019</v>
      </c>
      <c r="F278" s="13">
        <v>6.3260476190476203</v>
      </c>
      <c r="G278" s="13" t="s">
        <v>47</v>
      </c>
    </row>
    <row r="279" spans="1:7">
      <c r="A279" s="13">
        <v>306</v>
      </c>
      <c r="B279" s="13" t="s">
        <v>40</v>
      </c>
      <c r="C279" s="13" t="s">
        <v>16</v>
      </c>
      <c r="D279" s="13" t="s">
        <v>11</v>
      </c>
      <c r="E279" s="13">
        <v>2021</v>
      </c>
      <c r="F279" s="13">
        <v>5.0434074074073996</v>
      </c>
      <c r="G279" s="13" t="s">
        <v>47</v>
      </c>
    </row>
    <row r="280" spans="1:7">
      <c r="A280" s="13">
        <v>346</v>
      </c>
      <c r="B280" s="13" t="s">
        <v>40</v>
      </c>
      <c r="C280" s="13" t="s">
        <v>16</v>
      </c>
      <c r="D280" s="13" t="s">
        <v>13</v>
      </c>
      <c r="E280" s="13">
        <v>2021</v>
      </c>
      <c r="F280" s="13">
        <v>5.7436666666666598</v>
      </c>
      <c r="G280" s="13" t="s">
        <v>47</v>
      </c>
    </row>
    <row r="281" spans="1:7">
      <c r="A281" s="13">
        <v>428</v>
      </c>
      <c r="B281" s="13" t="s">
        <v>40</v>
      </c>
      <c r="C281" s="13" t="s">
        <v>16</v>
      </c>
      <c r="D281" s="13" t="s">
        <v>11</v>
      </c>
      <c r="E281" s="13">
        <v>2022</v>
      </c>
      <c r="F281" s="13">
        <v>5.78527083333333</v>
      </c>
      <c r="G281" s="13" t="s">
        <v>47</v>
      </c>
    </row>
    <row r="282" spans="1:7">
      <c r="A282" s="13">
        <v>237</v>
      </c>
      <c r="B282" s="13" t="s">
        <v>40</v>
      </c>
      <c r="C282" s="13" t="s">
        <v>16</v>
      </c>
      <c r="D282" s="13" t="s">
        <v>11</v>
      </c>
      <c r="E282" s="13">
        <v>2019</v>
      </c>
      <c r="F282" s="13">
        <v>5.2176</v>
      </c>
      <c r="G282" s="13" t="s">
        <v>47</v>
      </c>
    </row>
    <row r="283" spans="1:7">
      <c r="A283" s="13">
        <v>37</v>
      </c>
      <c r="B283" s="13" t="s">
        <v>40</v>
      </c>
      <c r="C283" s="13" t="s">
        <v>9</v>
      </c>
      <c r="D283" s="13" t="s">
        <v>13</v>
      </c>
      <c r="E283" s="13">
        <v>2017</v>
      </c>
      <c r="F283" s="13">
        <v>9.4363218390804597</v>
      </c>
      <c r="G283" s="13" t="s">
        <v>47</v>
      </c>
    </row>
    <row r="284" spans="1:7">
      <c r="A284" s="13">
        <v>73</v>
      </c>
      <c r="B284" s="13" t="s">
        <v>40</v>
      </c>
      <c r="C284" s="13" t="s">
        <v>9</v>
      </c>
      <c r="D284" s="13" t="s">
        <v>13</v>
      </c>
      <c r="E284" s="13">
        <v>2018</v>
      </c>
      <c r="F284" s="13">
        <v>12.179086956521701</v>
      </c>
      <c r="G284" s="13" t="s">
        <v>48</v>
      </c>
    </row>
    <row r="285" spans="1:7">
      <c r="A285" s="13">
        <v>31</v>
      </c>
      <c r="B285" s="13" t="s">
        <v>40</v>
      </c>
      <c r="C285" s="13" t="s">
        <v>9</v>
      </c>
      <c r="D285" s="13" t="s">
        <v>13</v>
      </c>
      <c r="E285" s="13">
        <v>2017</v>
      </c>
      <c r="F285" s="13">
        <v>12.892898550724601</v>
      </c>
      <c r="G285" s="13" t="s">
        <v>48</v>
      </c>
    </row>
    <row r="286" spans="1:7">
      <c r="A286" s="13">
        <v>48</v>
      </c>
      <c r="B286" s="13" t="s">
        <v>40</v>
      </c>
      <c r="C286" s="13" t="s">
        <v>9</v>
      </c>
      <c r="D286" s="13" t="s">
        <v>13</v>
      </c>
      <c r="E286" s="13">
        <v>2018</v>
      </c>
      <c r="F286" s="13">
        <v>13.289208333333301</v>
      </c>
      <c r="G286" s="13" t="s">
        <v>48</v>
      </c>
    </row>
    <row r="287" spans="1:7">
      <c r="A287" s="13">
        <v>78</v>
      </c>
      <c r="B287" s="13" t="s">
        <v>40</v>
      </c>
      <c r="C287" s="13" t="s">
        <v>9</v>
      </c>
      <c r="D287" s="13" t="s">
        <v>13</v>
      </c>
      <c r="E287" s="13">
        <v>2018</v>
      </c>
      <c r="F287" s="13">
        <v>11.4750517241379</v>
      </c>
      <c r="G287" s="13" t="s">
        <v>48</v>
      </c>
    </row>
    <row r="288" spans="1:7">
      <c r="A288" s="13">
        <v>102</v>
      </c>
      <c r="B288" s="13" t="s">
        <v>40</v>
      </c>
      <c r="C288" s="13" t="s">
        <v>9</v>
      </c>
      <c r="D288" s="13" t="s">
        <v>13</v>
      </c>
      <c r="E288" s="13">
        <v>2018</v>
      </c>
      <c r="F288" s="13">
        <v>10.2454545454545</v>
      </c>
      <c r="G288" s="13" t="s">
        <v>48</v>
      </c>
    </row>
    <row r="289" spans="1:7">
      <c r="A289" s="13">
        <v>65</v>
      </c>
      <c r="B289" s="13" t="s">
        <v>40</v>
      </c>
      <c r="C289" s="13" t="s">
        <v>9</v>
      </c>
      <c r="D289" s="13" t="s">
        <v>13</v>
      </c>
      <c r="E289" s="13">
        <v>2018</v>
      </c>
      <c r="F289" s="13">
        <v>17.95702</v>
      </c>
      <c r="G289" s="13" t="s">
        <v>48</v>
      </c>
    </row>
    <row r="290" spans="1:7">
      <c r="A290" s="13">
        <v>112</v>
      </c>
      <c r="B290" s="13" t="s">
        <v>40</v>
      </c>
      <c r="C290" s="13" t="s">
        <v>9</v>
      </c>
      <c r="D290" s="13" t="s">
        <v>13</v>
      </c>
      <c r="E290" s="13">
        <v>2018</v>
      </c>
      <c r="F290" s="13">
        <v>12.902344047619</v>
      </c>
      <c r="G290" s="13" t="s">
        <v>48</v>
      </c>
    </row>
    <row r="291" spans="1:7">
      <c r="A291" s="13">
        <v>151</v>
      </c>
      <c r="B291" s="13" t="s">
        <v>40</v>
      </c>
      <c r="C291" s="13" t="s">
        <v>9</v>
      </c>
      <c r="D291" s="13" t="s">
        <v>13</v>
      </c>
      <c r="E291" s="13">
        <v>2019</v>
      </c>
      <c r="F291" s="13">
        <v>14.882400000000001</v>
      </c>
      <c r="G291" s="13" t="s">
        <v>48</v>
      </c>
    </row>
    <row r="292" spans="1:7">
      <c r="A292" s="13">
        <v>491</v>
      </c>
      <c r="B292" s="13" t="s">
        <v>40</v>
      </c>
      <c r="C292" s="13" t="s">
        <v>16</v>
      </c>
      <c r="D292" s="13" t="s">
        <v>13</v>
      </c>
      <c r="E292" s="13">
        <v>2022</v>
      </c>
      <c r="F292" s="13">
        <v>4.53503787878787</v>
      </c>
      <c r="G292" s="13" t="s">
        <v>49</v>
      </c>
    </row>
    <row r="293" spans="1:7">
      <c r="A293" s="13">
        <v>483</v>
      </c>
      <c r="B293" s="13" t="s">
        <v>40</v>
      </c>
      <c r="C293" s="13" t="s">
        <v>16</v>
      </c>
      <c r="D293" s="13" t="s">
        <v>13</v>
      </c>
      <c r="E293" s="13">
        <v>2022</v>
      </c>
      <c r="F293" s="13">
        <v>3.9561728395061699</v>
      </c>
      <c r="G293" s="13" t="s">
        <v>49</v>
      </c>
    </row>
    <row r="294" spans="1:7">
      <c r="A294" s="13">
        <v>473</v>
      </c>
      <c r="B294" s="13" t="s">
        <v>40</v>
      </c>
      <c r="C294" s="13" t="s">
        <v>16</v>
      </c>
      <c r="D294" s="13" t="s">
        <v>13</v>
      </c>
      <c r="E294" s="13">
        <v>2022</v>
      </c>
      <c r="F294" s="13">
        <v>5.15039682539682</v>
      </c>
      <c r="G294" s="13" t="s">
        <v>47</v>
      </c>
    </row>
    <row r="295" spans="1:7">
      <c r="A295" s="13">
        <v>343</v>
      </c>
      <c r="B295" s="13" t="s">
        <v>40</v>
      </c>
      <c r="C295" s="13" t="s">
        <v>16</v>
      </c>
      <c r="D295" s="13" t="s">
        <v>13</v>
      </c>
      <c r="E295" s="13">
        <v>2021</v>
      </c>
      <c r="F295" s="13">
        <v>3.85062068965517</v>
      </c>
      <c r="G295" s="13" t="s">
        <v>49</v>
      </c>
    </row>
    <row r="296" spans="1:7">
      <c r="A296" s="13">
        <v>376</v>
      </c>
      <c r="B296" s="13" t="s">
        <v>40</v>
      </c>
      <c r="C296" s="13" t="s">
        <v>16</v>
      </c>
      <c r="D296" s="13" t="s">
        <v>13</v>
      </c>
      <c r="E296" s="13">
        <v>2021</v>
      </c>
      <c r="F296" s="13">
        <v>3.9254666666666602</v>
      </c>
      <c r="G296" s="13" t="s">
        <v>49</v>
      </c>
    </row>
    <row r="297" spans="1:7">
      <c r="A297" s="13">
        <v>171</v>
      </c>
      <c r="B297" s="13" t="s">
        <v>40</v>
      </c>
      <c r="C297" s="13" t="s">
        <v>16</v>
      </c>
      <c r="D297" s="13" t="s">
        <v>11</v>
      </c>
      <c r="E297" s="13">
        <v>2019</v>
      </c>
      <c r="F297" s="13">
        <v>3.9409333333333301</v>
      </c>
      <c r="G297" s="13" t="s">
        <v>49</v>
      </c>
    </row>
    <row r="298" spans="1:7">
      <c r="A298" s="13">
        <v>148</v>
      </c>
      <c r="B298" s="13" t="s">
        <v>40</v>
      </c>
      <c r="C298" s="13" t="s">
        <v>16</v>
      </c>
      <c r="D298" s="13" t="s">
        <v>11</v>
      </c>
      <c r="E298" s="13">
        <v>2019</v>
      </c>
      <c r="F298" s="13">
        <v>4.1432624999999996</v>
      </c>
      <c r="G298" s="13" t="s">
        <v>49</v>
      </c>
    </row>
    <row r="299" spans="1:7">
      <c r="A299" s="13">
        <v>156</v>
      </c>
      <c r="B299" s="13" t="s">
        <v>40</v>
      </c>
      <c r="C299" s="13" t="s">
        <v>16</v>
      </c>
      <c r="D299" s="13" t="s">
        <v>11</v>
      </c>
      <c r="E299" s="13">
        <v>2019</v>
      </c>
      <c r="F299" s="13">
        <v>7.3719298245614002</v>
      </c>
      <c r="G299" s="13" t="s">
        <v>47</v>
      </c>
    </row>
    <row r="300" spans="1:7">
      <c r="A300" s="13">
        <v>395</v>
      </c>
      <c r="B300" s="13" t="s">
        <v>40</v>
      </c>
      <c r="C300" s="13" t="s">
        <v>16</v>
      </c>
      <c r="D300" s="13" t="s">
        <v>13</v>
      </c>
      <c r="E300" s="13">
        <v>2021</v>
      </c>
      <c r="F300" s="13">
        <v>6.0388799999999998</v>
      </c>
      <c r="G300" s="13" t="s">
        <v>47</v>
      </c>
    </row>
    <row r="301" spans="1:7">
      <c r="A301" s="13">
        <v>206</v>
      </c>
      <c r="B301" s="13" t="s">
        <v>41</v>
      </c>
      <c r="C301" s="13" t="s">
        <v>16</v>
      </c>
      <c r="D301" s="13" t="s">
        <v>11</v>
      </c>
      <c r="E301" s="13">
        <v>2019</v>
      </c>
      <c r="F301" s="13">
        <v>3.0435249999999998</v>
      </c>
      <c r="G301" s="13" t="s">
        <v>49</v>
      </c>
    </row>
    <row r="302" spans="1:7">
      <c r="A302" s="13">
        <v>223</v>
      </c>
      <c r="B302" s="13" t="s">
        <v>41</v>
      </c>
      <c r="C302" s="13" t="s">
        <v>16</v>
      </c>
      <c r="D302" s="13" t="s">
        <v>13</v>
      </c>
      <c r="E302" s="13">
        <v>2019</v>
      </c>
      <c r="F302" s="13">
        <v>2.5977701149425201</v>
      </c>
      <c r="G302" s="13" t="s">
        <v>49</v>
      </c>
    </row>
    <row r="303" spans="1:7">
      <c r="A303" s="13">
        <v>16</v>
      </c>
      <c r="B303" s="13" t="s">
        <v>41</v>
      </c>
      <c r="C303" s="13" t="s">
        <v>16</v>
      </c>
      <c r="D303" s="13" t="s">
        <v>11</v>
      </c>
      <c r="E303" s="13">
        <v>2017</v>
      </c>
      <c r="F303" s="13">
        <v>3.1951999999999998</v>
      </c>
      <c r="G303" s="13" t="s">
        <v>49</v>
      </c>
    </row>
    <row r="304" spans="1:7">
      <c r="A304" s="13">
        <v>213</v>
      </c>
      <c r="B304" s="13" t="s">
        <v>41</v>
      </c>
      <c r="C304" s="13" t="s">
        <v>16</v>
      </c>
      <c r="D304" s="13" t="s">
        <v>11</v>
      </c>
      <c r="E304" s="13">
        <v>2019</v>
      </c>
      <c r="F304" s="13">
        <v>2.9882023809523801</v>
      </c>
      <c r="G304" s="13" t="s">
        <v>49</v>
      </c>
    </row>
    <row r="305" spans="1:7">
      <c r="A305" s="13">
        <v>118</v>
      </c>
      <c r="B305" s="13" t="s">
        <v>41</v>
      </c>
      <c r="C305" s="13" t="s">
        <v>16</v>
      </c>
      <c r="D305" s="13" t="s">
        <v>11</v>
      </c>
      <c r="E305" s="13">
        <v>2018</v>
      </c>
      <c r="F305" s="13">
        <v>3.5232399999999999</v>
      </c>
      <c r="G305" s="13" t="s">
        <v>49</v>
      </c>
    </row>
    <row r="306" spans="1:7">
      <c r="A306" s="13">
        <v>311</v>
      </c>
      <c r="B306" s="13" t="s">
        <v>41</v>
      </c>
      <c r="C306" s="13" t="s">
        <v>16</v>
      </c>
      <c r="D306" s="13" t="s">
        <v>11</v>
      </c>
      <c r="E306" s="13">
        <v>2021</v>
      </c>
      <c r="F306" s="13">
        <v>4.4365999999999897</v>
      </c>
      <c r="G306" s="13" t="s">
        <v>49</v>
      </c>
    </row>
    <row r="307" spans="1:7">
      <c r="A307" s="13">
        <v>245</v>
      </c>
      <c r="B307" s="13" t="s">
        <v>41</v>
      </c>
      <c r="C307" s="13" t="s">
        <v>16</v>
      </c>
      <c r="D307" s="13" t="s">
        <v>13</v>
      </c>
      <c r="E307" s="13">
        <v>2019</v>
      </c>
      <c r="F307" s="13">
        <v>3.4942153846153801</v>
      </c>
      <c r="G307" s="13" t="s">
        <v>49</v>
      </c>
    </row>
    <row r="308" spans="1:7">
      <c r="A308" s="13">
        <v>39</v>
      </c>
      <c r="B308" s="13" t="s">
        <v>41</v>
      </c>
      <c r="C308" s="13" t="s">
        <v>16</v>
      </c>
      <c r="D308" s="13" t="s">
        <v>11</v>
      </c>
      <c r="E308" s="13">
        <v>2018</v>
      </c>
      <c r="F308" s="13">
        <v>2.9963387096774099</v>
      </c>
      <c r="G308" s="13" t="s">
        <v>49</v>
      </c>
    </row>
    <row r="309" spans="1:7">
      <c r="A309" s="13">
        <v>55</v>
      </c>
      <c r="B309" s="13" t="s">
        <v>41</v>
      </c>
      <c r="C309" s="13" t="s">
        <v>16</v>
      </c>
      <c r="D309" s="13" t="s">
        <v>13</v>
      </c>
      <c r="E309" s="13">
        <v>2018</v>
      </c>
      <c r="F309" s="13">
        <v>4.8102716666666598</v>
      </c>
      <c r="G309" s="13" t="s">
        <v>49</v>
      </c>
    </row>
    <row r="310" spans="1:7">
      <c r="A310" s="13">
        <v>29</v>
      </c>
      <c r="B310" s="13" t="s">
        <v>41</v>
      </c>
      <c r="C310" s="13" t="s">
        <v>16</v>
      </c>
      <c r="D310" s="13" t="s">
        <v>11</v>
      </c>
      <c r="E310" s="13">
        <v>2017</v>
      </c>
      <c r="F310" s="13">
        <v>3.9496000000000002</v>
      </c>
      <c r="G310" s="13" t="s">
        <v>49</v>
      </c>
    </row>
    <row r="311" spans="1:7">
      <c r="A311" s="13">
        <v>323</v>
      </c>
      <c r="B311" s="13" t="s">
        <v>41</v>
      </c>
      <c r="C311" s="13" t="s">
        <v>16</v>
      </c>
      <c r="D311" s="13" t="s">
        <v>11</v>
      </c>
      <c r="E311" s="13">
        <v>2021</v>
      </c>
      <c r="F311" s="13">
        <v>3.9515199999999999</v>
      </c>
      <c r="G311" s="13" t="s">
        <v>49</v>
      </c>
    </row>
    <row r="312" spans="1:7">
      <c r="A312" s="13">
        <v>170</v>
      </c>
      <c r="B312" s="13" t="s">
        <v>41</v>
      </c>
      <c r="C312" s="13" t="s">
        <v>16</v>
      </c>
      <c r="D312" s="13" t="s">
        <v>11</v>
      </c>
      <c r="E312" s="13">
        <v>2019</v>
      </c>
      <c r="F312" s="13">
        <v>4.3678956521739103</v>
      </c>
      <c r="G312" s="13" t="s">
        <v>49</v>
      </c>
    </row>
    <row r="313" spans="1:7">
      <c r="A313" s="13">
        <v>195</v>
      </c>
      <c r="B313" s="13" t="s">
        <v>41</v>
      </c>
      <c r="C313" s="13" t="s">
        <v>16</v>
      </c>
      <c r="D313" s="13" t="s">
        <v>11</v>
      </c>
      <c r="E313" s="13">
        <v>2019</v>
      </c>
      <c r="F313" s="13">
        <v>5.33988</v>
      </c>
      <c r="G313" s="13" t="s">
        <v>47</v>
      </c>
    </row>
    <row r="314" spans="1:7">
      <c r="A314" s="13">
        <v>162</v>
      </c>
      <c r="B314" s="13" t="s">
        <v>41</v>
      </c>
      <c r="C314" s="13" t="s">
        <v>16</v>
      </c>
      <c r="D314" s="13" t="s">
        <v>11</v>
      </c>
      <c r="E314" s="13">
        <v>2019</v>
      </c>
      <c r="F314" s="13">
        <v>3.4347212121212101</v>
      </c>
      <c r="G314" s="13" t="s">
        <v>49</v>
      </c>
    </row>
    <row r="315" spans="1:7">
      <c r="A315" s="13">
        <v>123</v>
      </c>
      <c r="B315" s="13" t="s">
        <v>41</v>
      </c>
      <c r="C315" s="13" t="s">
        <v>16</v>
      </c>
      <c r="D315" s="13" t="s">
        <v>13</v>
      </c>
      <c r="E315" s="13">
        <v>2019</v>
      </c>
      <c r="F315" s="13">
        <v>3.65985</v>
      </c>
      <c r="G315" s="13" t="s">
        <v>49</v>
      </c>
    </row>
    <row r="316" spans="1:7">
      <c r="A316" s="13">
        <v>117</v>
      </c>
      <c r="B316" s="13" t="s">
        <v>41</v>
      </c>
      <c r="C316" s="13" t="s">
        <v>16</v>
      </c>
      <c r="D316" s="13" t="s">
        <v>11</v>
      </c>
      <c r="E316" s="13">
        <v>2018</v>
      </c>
      <c r="F316" s="13">
        <v>5.8847249999999898</v>
      </c>
      <c r="G316" s="13" t="s">
        <v>47</v>
      </c>
    </row>
    <row r="317" spans="1:7">
      <c r="A317" s="13">
        <v>115</v>
      </c>
      <c r="B317" s="13" t="s">
        <v>41</v>
      </c>
      <c r="C317" s="13" t="s">
        <v>16</v>
      </c>
      <c r="D317" s="13" t="s">
        <v>11</v>
      </c>
      <c r="E317" s="13">
        <v>2018</v>
      </c>
      <c r="F317" s="13">
        <v>3.5852686868686798</v>
      </c>
      <c r="G317" s="13" t="s">
        <v>49</v>
      </c>
    </row>
    <row r="318" spans="1:7">
      <c r="A318" s="13">
        <v>228</v>
      </c>
      <c r="B318" s="13" t="s">
        <v>41</v>
      </c>
      <c r="C318" s="13" t="s">
        <v>16</v>
      </c>
      <c r="D318" s="13" t="s">
        <v>11</v>
      </c>
      <c r="E318" s="13">
        <v>2019</v>
      </c>
      <c r="F318" s="13">
        <v>4.8782880000000004</v>
      </c>
      <c r="G318" s="13" t="s">
        <v>49</v>
      </c>
    </row>
    <row r="319" spans="1:7">
      <c r="A319" s="13">
        <v>499</v>
      </c>
      <c r="B319" s="13" t="s">
        <v>41</v>
      </c>
      <c r="C319" s="13" t="s">
        <v>16</v>
      </c>
      <c r="D319" s="13" t="s">
        <v>11</v>
      </c>
      <c r="E319" s="13">
        <v>2022</v>
      </c>
      <c r="F319" s="13">
        <v>7.1287500000000001</v>
      </c>
      <c r="G319" s="13" t="s">
        <v>47</v>
      </c>
    </row>
    <row r="320" spans="1:7">
      <c r="A320" s="13">
        <v>275</v>
      </c>
      <c r="B320" s="13" t="s">
        <v>41</v>
      </c>
      <c r="C320" s="13" t="s">
        <v>16</v>
      </c>
      <c r="D320" s="13" t="s">
        <v>11</v>
      </c>
      <c r="E320" s="13">
        <v>2020</v>
      </c>
      <c r="F320" s="13">
        <v>5.4679012345678997</v>
      </c>
      <c r="G320" s="13" t="s">
        <v>47</v>
      </c>
    </row>
    <row r="321" spans="1:7">
      <c r="A321" s="13">
        <v>279</v>
      </c>
      <c r="B321" s="13" t="s">
        <v>41</v>
      </c>
      <c r="C321" s="13" t="s">
        <v>16</v>
      </c>
      <c r="D321" s="13" t="s">
        <v>11</v>
      </c>
      <c r="E321" s="13">
        <v>2021</v>
      </c>
      <c r="F321" s="13">
        <v>4.6880416666666598</v>
      </c>
      <c r="G321" s="13" t="s">
        <v>49</v>
      </c>
    </row>
    <row r="322" spans="1:7">
      <c r="A322" s="13">
        <v>166</v>
      </c>
      <c r="B322" s="13" t="s">
        <v>41</v>
      </c>
      <c r="C322" s="13" t="s">
        <v>9</v>
      </c>
      <c r="D322" s="13" t="s">
        <v>24</v>
      </c>
      <c r="E322" s="13">
        <v>2019</v>
      </c>
      <c r="F322" s="13">
        <v>12.5413333333333</v>
      </c>
      <c r="G322" s="13" t="s">
        <v>48</v>
      </c>
    </row>
    <row r="323" spans="1:7">
      <c r="A323" s="13">
        <v>465</v>
      </c>
      <c r="B323" s="13" t="s">
        <v>41</v>
      </c>
      <c r="C323" s="13" t="s">
        <v>16</v>
      </c>
      <c r="D323" s="13" t="s">
        <v>11</v>
      </c>
      <c r="E323" s="13">
        <v>2022</v>
      </c>
      <c r="F323" s="13">
        <v>3.1034226190476102</v>
      </c>
      <c r="G323" s="13" t="s">
        <v>49</v>
      </c>
    </row>
    <row r="324" spans="1:7">
      <c r="A324" s="13">
        <v>313</v>
      </c>
      <c r="B324" s="13" t="s">
        <v>41</v>
      </c>
      <c r="C324" s="13" t="s">
        <v>16</v>
      </c>
      <c r="D324" s="13" t="s">
        <v>11</v>
      </c>
      <c r="E324" s="13">
        <v>2021</v>
      </c>
      <c r="F324" s="13">
        <v>5.056</v>
      </c>
      <c r="G324" s="13" t="s">
        <v>47</v>
      </c>
    </row>
    <row r="325" spans="1:7">
      <c r="A325" s="13">
        <v>377</v>
      </c>
      <c r="B325" s="13" t="s">
        <v>41</v>
      </c>
      <c r="C325" s="13" t="s">
        <v>16</v>
      </c>
      <c r="D325" s="13" t="s">
        <v>11</v>
      </c>
      <c r="E325" s="13">
        <v>2021</v>
      </c>
      <c r="F325" s="13">
        <v>4.1325925925925899</v>
      </c>
      <c r="G325" s="13" t="s">
        <v>49</v>
      </c>
    </row>
    <row r="326" spans="1:7">
      <c r="A326" s="13">
        <v>344</v>
      </c>
      <c r="B326" s="13" t="s">
        <v>41</v>
      </c>
      <c r="C326" s="13" t="s">
        <v>16</v>
      </c>
      <c r="D326" s="13" t="s">
        <v>11</v>
      </c>
      <c r="E326" s="13">
        <v>2021</v>
      </c>
      <c r="F326" s="13">
        <v>4.7544000000000004</v>
      </c>
      <c r="G326" s="13" t="s">
        <v>49</v>
      </c>
    </row>
    <row r="327" spans="1:7">
      <c r="A327" s="13">
        <v>371</v>
      </c>
      <c r="B327" s="13" t="s">
        <v>41</v>
      </c>
      <c r="C327" s="13" t="s">
        <v>16</v>
      </c>
      <c r="D327" s="13" t="s">
        <v>13</v>
      </c>
      <c r="E327" s="13">
        <v>2021</v>
      </c>
      <c r="F327" s="13">
        <v>6.3103157894736803</v>
      </c>
      <c r="G327" s="13" t="s">
        <v>47</v>
      </c>
    </row>
    <row r="328" spans="1:7">
      <c r="A328" s="13">
        <v>382</v>
      </c>
      <c r="B328" s="13" t="s">
        <v>41</v>
      </c>
      <c r="C328" s="13" t="s">
        <v>16</v>
      </c>
      <c r="D328" s="13" t="s">
        <v>11</v>
      </c>
      <c r="E328" s="13">
        <v>2021</v>
      </c>
      <c r="F328" s="13">
        <v>5.2175000000000002</v>
      </c>
      <c r="G328" s="13" t="s">
        <v>47</v>
      </c>
    </row>
    <row r="329" spans="1:7">
      <c r="A329" s="13">
        <v>389</v>
      </c>
      <c r="B329" s="13" t="s">
        <v>41</v>
      </c>
      <c r="C329" s="13" t="s">
        <v>16</v>
      </c>
      <c r="D329" s="13" t="s">
        <v>11</v>
      </c>
      <c r="E329" s="13">
        <v>2021</v>
      </c>
      <c r="F329" s="13">
        <v>7.3304444444444403</v>
      </c>
      <c r="G329" s="13" t="s">
        <v>47</v>
      </c>
    </row>
    <row r="330" spans="1:7">
      <c r="A330" s="13">
        <v>495</v>
      </c>
      <c r="B330" s="13" t="s">
        <v>41</v>
      </c>
      <c r="C330" s="13" t="s">
        <v>16</v>
      </c>
      <c r="D330" s="13" t="s">
        <v>11</v>
      </c>
      <c r="E330" s="13">
        <v>2022</v>
      </c>
      <c r="F330" s="13">
        <v>6.6850378787878704</v>
      </c>
      <c r="G330" s="13" t="s">
        <v>47</v>
      </c>
    </row>
    <row r="331" spans="1:7">
      <c r="A331" s="13">
        <v>366</v>
      </c>
      <c r="B331" s="13" t="s">
        <v>41</v>
      </c>
      <c r="C331" s="13" t="s">
        <v>16</v>
      </c>
      <c r="D331" s="13" t="s">
        <v>11</v>
      </c>
      <c r="E331" s="13">
        <v>2021</v>
      </c>
      <c r="F331" s="13">
        <v>7.3302857142857096</v>
      </c>
      <c r="G331" s="13" t="s">
        <v>47</v>
      </c>
    </row>
    <row r="332" spans="1:7">
      <c r="A332" s="13">
        <v>329</v>
      </c>
      <c r="B332" s="13" t="s">
        <v>41</v>
      </c>
      <c r="C332" s="13" t="s">
        <v>16</v>
      </c>
      <c r="D332" s="13" t="s">
        <v>13</v>
      </c>
      <c r="E332" s="13">
        <v>2021</v>
      </c>
      <c r="F332" s="13">
        <v>6.4298333333333302</v>
      </c>
      <c r="G332" s="13" t="s">
        <v>47</v>
      </c>
    </row>
    <row r="333" spans="1:7">
      <c r="A333" s="13">
        <v>455</v>
      </c>
      <c r="B333" s="13" t="s">
        <v>41</v>
      </c>
      <c r="C333" s="13" t="s">
        <v>16</v>
      </c>
      <c r="D333" s="13" t="s">
        <v>11</v>
      </c>
      <c r="E333" s="13">
        <v>2022</v>
      </c>
      <c r="F333" s="13">
        <v>4.6802085714285697</v>
      </c>
      <c r="G333" s="13" t="s">
        <v>49</v>
      </c>
    </row>
    <row r="334" spans="1:7">
      <c r="A334" s="13">
        <v>99</v>
      </c>
      <c r="B334" s="13" t="s">
        <v>41</v>
      </c>
      <c r="C334" s="13" t="s">
        <v>9</v>
      </c>
      <c r="D334" s="13" t="s">
        <v>13</v>
      </c>
      <c r="E334" s="13">
        <v>2018</v>
      </c>
      <c r="F334" s="13">
        <v>13.1418444444444</v>
      </c>
      <c r="G334" s="13" t="s">
        <v>48</v>
      </c>
    </row>
    <row r="335" spans="1:7">
      <c r="A335" s="13">
        <v>3</v>
      </c>
      <c r="B335" s="13" t="s">
        <v>41</v>
      </c>
      <c r="C335" s="13" t="s">
        <v>9</v>
      </c>
      <c r="D335" s="13" t="s">
        <v>13</v>
      </c>
      <c r="E335" s="13">
        <v>2017</v>
      </c>
      <c r="F335" s="13">
        <v>12.922592592592499</v>
      </c>
      <c r="G335" s="13" t="s">
        <v>48</v>
      </c>
    </row>
    <row r="336" spans="1:7">
      <c r="A336" s="13">
        <v>83</v>
      </c>
      <c r="B336" s="13" t="s">
        <v>41</v>
      </c>
      <c r="C336" s="13" t="s">
        <v>16</v>
      </c>
      <c r="D336" s="13" t="s">
        <v>11</v>
      </c>
      <c r="E336" s="13">
        <v>2018</v>
      </c>
      <c r="F336" s="13">
        <v>3.4300430555555499</v>
      </c>
      <c r="G336" s="13" t="s">
        <v>49</v>
      </c>
    </row>
    <row r="337" spans="1:7">
      <c r="A337" s="13">
        <v>150</v>
      </c>
      <c r="B337" s="13" t="s">
        <v>41</v>
      </c>
      <c r="C337" s="13" t="s">
        <v>16</v>
      </c>
      <c r="D337" s="13" t="s">
        <v>13</v>
      </c>
      <c r="E337" s="13">
        <v>2019</v>
      </c>
      <c r="F337" s="13">
        <v>3.6304500000000002</v>
      </c>
      <c r="G337" s="13" t="s">
        <v>49</v>
      </c>
    </row>
    <row r="338" spans="1:7">
      <c r="A338" s="13">
        <v>373</v>
      </c>
      <c r="B338" s="13" t="s">
        <v>41</v>
      </c>
      <c r="C338" s="13" t="s">
        <v>16</v>
      </c>
      <c r="D338" s="13" t="s">
        <v>13</v>
      </c>
      <c r="E338" s="13">
        <v>2021</v>
      </c>
      <c r="F338" s="13">
        <v>3.1619999999999999</v>
      </c>
      <c r="G338" s="13" t="s">
        <v>49</v>
      </c>
    </row>
    <row r="339" spans="1:7">
      <c r="A339" s="13">
        <v>209</v>
      </c>
      <c r="B339" s="13" t="s">
        <v>41</v>
      </c>
      <c r="C339" s="13" t="s">
        <v>16</v>
      </c>
      <c r="D339" s="13" t="s">
        <v>13</v>
      </c>
      <c r="E339" s="13">
        <v>2019</v>
      </c>
      <c r="F339" s="13">
        <v>4.0609306666666596</v>
      </c>
      <c r="G339" s="13" t="s">
        <v>49</v>
      </c>
    </row>
    <row r="340" spans="1:7">
      <c r="A340" s="13">
        <v>74</v>
      </c>
      <c r="B340" s="13" t="s">
        <v>41</v>
      </c>
      <c r="C340" s="13" t="s">
        <v>16</v>
      </c>
      <c r="D340" s="13" t="s">
        <v>11</v>
      </c>
      <c r="E340" s="13">
        <v>2018</v>
      </c>
      <c r="F340" s="13">
        <v>5.7664148148148104</v>
      </c>
      <c r="G340" s="13" t="s">
        <v>47</v>
      </c>
    </row>
    <row r="341" spans="1:7">
      <c r="A341" s="13">
        <v>402</v>
      </c>
      <c r="B341" s="13" t="s">
        <v>41</v>
      </c>
      <c r="C341" s="13" t="s">
        <v>16</v>
      </c>
      <c r="D341" s="13" t="s">
        <v>13</v>
      </c>
      <c r="E341" s="13">
        <v>2021</v>
      </c>
      <c r="F341" s="13">
        <v>5.6161999999999903</v>
      </c>
      <c r="G341" s="13" t="s">
        <v>47</v>
      </c>
    </row>
    <row r="342" spans="1:7">
      <c r="A342" s="13">
        <v>424</v>
      </c>
      <c r="B342" s="13" t="s">
        <v>41</v>
      </c>
      <c r="C342" s="13" t="s">
        <v>16</v>
      </c>
      <c r="D342" s="13" t="s">
        <v>13</v>
      </c>
      <c r="E342" s="13">
        <v>2022</v>
      </c>
      <c r="F342" s="13">
        <v>4.8092999999999897</v>
      </c>
      <c r="G342" s="13" t="s">
        <v>49</v>
      </c>
    </row>
    <row r="343" spans="1:7">
      <c r="A343" s="13">
        <v>218</v>
      </c>
      <c r="B343" s="13" t="s">
        <v>41</v>
      </c>
      <c r="C343" s="13" t="s">
        <v>16</v>
      </c>
      <c r="D343" s="13" t="s">
        <v>13</v>
      </c>
      <c r="E343" s="13">
        <v>2019</v>
      </c>
      <c r="F343" s="13">
        <v>6.2895789473684198</v>
      </c>
      <c r="G343" s="13" t="s">
        <v>47</v>
      </c>
    </row>
    <row r="344" spans="1:7">
      <c r="A344" s="13">
        <v>374</v>
      </c>
      <c r="B344" s="13" t="s">
        <v>41</v>
      </c>
      <c r="C344" s="13" t="s">
        <v>16</v>
      </c>
      <c r="D344" s="13" t="s">
        <v>13</v>
      </c>
      <c r="E344" s="13">
        <v>2021</v>
      </c>
      <c r="F344" s="13">
        <v>3.06502564102564</v>
      </c>
      <c r="G344" s="13" t="s">
        <v>49</v>
      </c>
    </row>
    <row r="345" spans="1:7">
      <c r="A345" s="13">
        <v>85</v>
      </c>
      <c r="B345" s="13" t="s">
        <v>41</v>
      </c>
      <c r="C345" s="13" t="s">
        <v>16</v>
      </c>
      <c r="D345" s="13" t="s">
        <v>11</v>
      </c>
      <c r="E345" s="13">
        <v>2018</v>
      </c>
      <c r="F345" s="13">
        <v>4.6925576923076902</v>
      </c>
      <c r="G345" s="13" t="s">
        <v>49</v>
      </c>
    </row>
    <row r="346" spans="1:7">
      <c r="A346" s="13">
        <v>119</v>
      </c>
      <c r="B346" s="13" t="s">
        <v>41</v>
      </c>
      <c r="C346" s="13" t="s">
        <v>16</v>
      </c>
      <c r="D346" s="13" t="s">
        <v>11</v>
      </c>
      <c r="E346" s="13">
        <v>2018</v>
      </c>
      <c r="F346" s="13">
        <v>4.6594567901234498</v>
      </c>
      <c r="G346" s="13" t="s">
        <v>49</v>
      </c>
    </row>
    <row r="347" spans="1:7">
      <c r="A347" s="13">
        <v>263</v>
      </c>
      <c r="B347" s="13" t="s">
        <v>41</v>
      </c>
      <c r="C347" s="13" t="s">
        <v>16</v>
      </c>
      <c r="D347" s="13" t="s">
        <v>13</v>
      </c>
      <c r="E347" s="13">
        <v>2020</v>
      </c>
      <c r="F347" s="13">
        <v>3.9348958333333299</v>
      </c>
      <c r="G347" s="13" t="s">
        <v>49</v>
      </c>
    </row>
    <row r="348" spans="1:7">
      <c r="A348" s="13">
        <v>289</v>
      </c>
      <c r="B348" s="13" t="s">
        <v>41</v>
      </c>
      <c r="C348" s="13" t="s">
        <v>16</v>
      </c>
      <c r="D348" s="13" t="s">
        <v>13</v>
      </c>
      <c r="E348" s="13">
        <v>2021</v>
      </c>
      <c r="F348" s="13">
        <v>6.2809090909090903</v>
      </c>
      <c r="G348" s="13" t="s">
        <v>47</v>
      </c>
    </row>
    <row r="349" spans="1:7">
      <c r="A349" s="13">
        <v>363</v>
      </c>
      <c r="B349" s="13" t="s">
        <v>41</v>
      </c>
      <c r="C349" s="13" t="s">
        <v>16</v>
      </c>
      <c r="D349" s="13" t="s">
        <v>13</v>
      </c>
      <c r="E349" s="13">
        <v>2021</v>
      </c>
      <c r="F349" s="13">
        <v>5.2522857142857102</v>
      </c>
      <c r="G349" s="13" t="s">
        <v>47</v>
      </c>
    </row>
    <row r="350" spans="1:7">
      <c r="A350" s="13">
        <v>470</v>
      </c>
      <c r="B350" s="13" t="s">
        <v>41</v>
      </c>
      <c r="C350" s="13" t="s">
        <v>16</v>
      </c>
      <c r="D350" s="13" t="s">
        <v>13</v>
      </c>
      <c r="E350" s="13">
        <v>2022</v>
      </c>
      <c r="F350" s="13">
        <v>6.0523148148148103</v>
      </c>
      <c r="G350" s="13" t="s">
        <v>47</v>
      </c>
    </row>
    <row r="351" spans="1:7">
      <c r="A351" s="13">
        <v>81</v>
      </c>
      <c r="B351" s="13" t="s">
        <v>41</v>
      </c>
      <c r="C351" s="13" t="s">
        <v>16</v>
      </c>
      <c r="D351" s="13" t="s">
        <v>11</v>
      </c>
      <c r="E351" s="13">
        <v>2018</v>
      </c>
      <c r="F351" s="13">
        <v>2.9015628205128201</v>
      </c>
      <c r="G351" s="13" t="s">
        <v>49</v>
      </c>
    </row>
    <row r="352" spans="1:7">
      <c r="A352" s="13">
        <v>46</v>
      </c>
      <c r="B352" s="13" t="s">
        <v>41</v>
      </c>
      <c r="C352" s="13" t="s">
        <v>16</v>
      </c>
      <c r="D352" s="13" t="s">
        <v>11</v>
      </c>
      <c r="E352" s="13">
        <v>2018</v>
      </c>
      <c r="F352" s="13">
        <v>2.9073333333333302</v>
      </c>
      <c r="G352" s="13" t="s">
        <v>49</v>
      </c>
    </row>
    <row r="353" spans="1:7">
      <c r="A353" s="13">
        <v>87</v>
      </c>
      <c r="B353" s="13" t="s">
        <v>41</v>
      </c>
      <c r="C353" s="13" t="s">
        <v>16</v>
      </c>
      <c r="D353" s="13" t="s">
        <v>13</v>
      </c>
      <c r="E353" s="13">
        <v>2018</v>
      </c>
      <c r="F353" s="13">
        <v>3.5210893333333302</v>
      </c>
      <c r="G353" s="13" t="s">
        <v>49</v>
      </c>
    </row>
    <row r="354" spans="1:7">
      <c r="A354" s="13">
        <v>254</v>
      </c>
      <c r="B354" s="13" t="s">
        <v>41</v>
      </c>
      <c r="C354" s="13" t="s">
        <v>16</v>
      </c>
      <c r="D354" s="13" t="s">
        <v>11</v>
      </c>
      <c r="E354" s="13">
        <v>2019</v>
      </c>
      <c r="F354" s="13">
        <v>3.42940459770114</v>
      </c>
      <c r="G354" s="13" t="s">
        <v>49</v>
      </c>
    </row>
    <row r="355" spans="1:7">
      <c r="A355" s="13">
        <v>185</v>
      </c>
      <c r="B355" s="13" t="s">
        <v>41</v>
      </c>
      <c r="C355" s="13" t="s">
        <v>16</v>
      </c>
      <c r="D355" s="13" t="s">
        <v>11</v>
      </c>
      <c r="E355" s="13">
        <v>2019</v>
      </c>
      <c r="F355" s="13">
        <v>5.0611466666666596</v>
      </c>
      <c r="G355" s="13" t="s">
        <v>47</v>
      </c>
    </row>
    <row r="356" spans="1:7">
      <c r="A356" s="13">
        <v>140</v>
      </c>
      <c r="B356" s="13" t="s">
        <v>41</v>
      </c>
      <c r="C356" s="13" t="s">
        <v>16</v>
      </c>
      <c r="D356" s="13" t="s">
        <v>11</v>
      </c>
      <c r="E356" s="13">
        <v>2019</v>
      </c>
      <c r="F356" s="13">
        <v>3.2659041666666599</v>
      </c>
      <c r="G356" s="13" t="s">
        <v>49</v>
      </c>
    </row>
    <row r="357" spans="1:7">
      <c r="A357" s="13">
        <v>219</v>
      </c>
      <c r="B357" s="13" t="s">
        <v>41</v>
      </c>
      <c r="C357" s="13" t="s">
        <v>16</v>
      </c>
      <c r="D357" s="13" t="s">
        <v>11</v>
      </c>
      <c r="E357" s="13">
        <v>2019</v>
      </c>
      <c r="F357" s="13">
        <v>4.0835820512820504</v>
      </c>
      <c r="G357" s="13" t="s">
        <v>49</v>
      </c>
    </row>
    <row r="358" spans="1:7">
      <c r="A358" s="13">
        <v>105</v>
      </c>
      <c r="B358" s="13" t="s">
        <v>41</v>
      </c>
      <c r="C358" s="13" t="s">
        <v>16</v>
      </c>
      <c r="D358" s="13" t="s">
        <v>11</v>
      </c>
      <c r="E358" s="13">
        <v>2018</v>
      </c>
      <c r="F358" s="13">
        <v>3.34069696969696</v>
      </c>
      <c r="G358" s="13" t="s">
        <v>49</v>
      </c>
    </row>
    <row r="359" spans="1:7">
      <c r="A359" s="13">
        <v>33</v>
      </c>
      <c r="B359" s="13" t="s">
        <v>41</v>
      </c>
      <c r="C359" s="13" t="s">
        <v>16</v>
      </c>
      <c r="D359" s="13" t="s">
        <v>11</v>
      </c>
      <c r="E359" s="13">
        <v>2017</v>
      </c>
      <c r="F359" s="13">
        <v>4.2744871794871697</v>
      </c>
      <c r="G359" s="13" t="s">
        <v>49</v>
      </c>
    </row>
    <row r="360" spans="1:7">
      <c r="A360" s="13">
        <v>261</v>
      </c>
      <c r="B360" s="13" t="s">
        <v>41</v>
      </c>
      <c r="C360" s="13" t="s">
        <v>16</v>
      </c>
      <c r="D360" s="13" t="s">
        <v>11</v>
      </c>
      <c r="E360" s="13">
        <v>2020</v>
      </c>
      <c r="F360" s="13">
        <v>6.4937500000000004</v>
      </c>
      <c r="G360" s="13" t="s">
        <v>47</v>
      </c>
    </row>
    <row r="361" spans="1:7">
      <c r="A361" s="13">
        <v>108</v>
      </c>
      <c r="B361" s="13" t="s">
        <v>41</v>
      </c>
      <c r="C361" s="13" t="s">
        <v>16</v>
      </c>
      <c r="D361" s="13" t="s">
        <v>11</v>
      </c>
      <c r="E361" s="13">
        <v>2018</v>
      </c>
      <c r="F361" s="13">
        <v>4.3327482758620697</v>
      </c>
      <c r="G361" s="13" t="s">
        <v>49</v>
      </c>
    </row>
    <row r="362" spans="1:7">
      <c r="A362" s="13">
        <v>80</v>
      </c>
      <c r="B362" s="13" t="s">
        <v>41</v>
      </c>
      <c r="C362" s="13" t="s">
        <v>16</v>
      </c>
      <c r="D362" s="13" t="s">
        <v>11</v>
      </c>
      <c r="E362" s="13">
        <v>2018</v>
      </c>
      <c r="F362" s="13">
        <v>5.6154583333333301</v>
      </c>
      <c r="G362" s="13" t="s">
        <v>47</v>
      </c>
    </row>
    <row r="363" spans="1:7">
      <c r="A363" s="13">
        <v>177</v>
      </c>
      <c r="B363" s="13" t="s">
        <v>41</v>
      </c>
      <c r="C363" s="13" t="s">
        <v>16</v>
      </c>
      <c r="D363" s="13" t="s">
        <v>11</v>
      </c>
      <c r="E363" s="13">
        <v>2019</v>
      </c>
      <c r="F363" s="13">
        <v>4.7929666666666604</v>
      </c>
      <c r="G363" s="13" t="s">
        <v>49</v>
      </c>
    </row>
    <row r="364" spans="1:7">
      <c r="A364" s="13">
        <v>193</v>
      </c>
      <c r="B364" s="13" t="s">
        <v>41</v>
      </c>
      <c r="C364" s="13" t="s">
        <v>16</v>
      </c>
      <c r="D364" s="13" t="s">
        <v>11</v>
      </c>
      <c r="E364" s="13">
        <v>2019</v>
      </c>
      <c r="F364" s="13">
        <v>3.73269487179487</v>
      </c>
      <c r="G364" s="13" t="s">
        <v>49</v>
      </c>
    </row>
    <row r="365" spans="1:7">
      <c r="A365" s="13">
        <v>192</v>
      </c>
      <c r="B365" s="13" t="s">
        <v>41</v>
      </c>
      <c r="C365" s="13" t="s">
        <v>16</v>
      </c>
      <c r="D365" s="13" t="s">
        <v>11</v>
      </c>
      <c r="E365" s="13">
        <v>2019</v>
      </c>
      <c r="F365" s="13">
        <v>3.3936488888888801</v>
      </c>
      <c r="G365" s="13" t="s">
        <v>49</v>
      </c>
    </row>
    <row r="366" spans="1:7">
      <c r="A366" s="13">
        <v>221</v>
      </c>
      <c r="B366" s="13" t="s">
        <v>41</v>
      </c>
      <c r="C366" s="13" t="s">
        <v>16</v>
      </c>
      <c r="D366" s="13" t="s">
        <v>11</v>
      </c>
      <c r="E366" s="13">
        <v>2019</v>
      </c>
      <c r="F366" s="13">
        <v>3.9161333333333301</v>
      </c>
      <c r="G366" s="13" t="s">
        <v>49</v>
      </c>
    </row>
    <row r="367" spans="1:7">
      <c r="A367" s="13">
        <v>253</v>
      </c>
      <c r="B367" s="13" t="s">
        <v>41</v>
      </c>
      <c r="C367" s="13" t="s">
        <v>16</v>
      </c>
      <c r="D367" s="13" t="s">
        <v>11</v>
      </c>
      <c r="E367" s="13">
        <v>2019</v>
      </c>
      <c r="F367" s="13">
        <v>3.9791876543209801</v>
      </c>
      <c r="G367" s="13" t="s">
        <v>49</v>
      </c>
    </row>
    <row r="368" spans="1:7">
      <c r="A368" s="13">
        <v>199</v>
      </c>
      <c r="B368" s="13" t="s">
        <v>41</v>
      </c>
      <c r="C368" s="13" t="s">
        <v>16</v>
      </c>
      <c r="D368" s="13" t="s">
        <v>11</v>
      </c>
      <c r="E368" s="13">
        <v>2019</v>
      </c>
      <c r="F368" s="13">
        <v>4.7066826666666604</v>
      </c>
      <c r="G368" s="13" t="s">
        <v>49</v>
      </c>
    </row>
    <row r="369" spans="1:7">
      <c r="A369" s="13">
        <v>160</v>
      </c>
      <c r="B369" s="13" t="s">
        <v>41</v>
      </c>
      <c r="C369" s="13" t="s">
        <v>16</v>
      </c>
      <c r="D369" s="13" t="s">
        <v>11</v>
      </c>
      <c r="E369" s="13">
        <v>2019</v>
      </c>
      <c r="F369" s="13">
        <v>4.3573095238095201</v>
      </c>
      <c r="G369" s="13" t="s">
        <v>49</v>
      </c>
    </row>
    <row r="370" spans="1:7">
      <c r="A370" s="13">
        <v>127</v>
      </c>
      <c r="B370" s="13" t="s">
        <v>41</v>
      </c>
      <c r="C370" s="13" t="s">
        <v>16</v>
      </c>
      <c r="D370" s="13" t="s">
        <v>13</v>
      </c>
      <c r="E370" s="13">
        <v>2019</v>
      </c>
      <c r="F370" s="13">
        <v>5.1885037037036996</v>
      </c>
      <c r="G370" s="13" t="s">
        <v>47</v>
      </c>
    </row>
    <row r="371" spans="1:7">
      <c r="A371" s="13">
        <v>321</v>
      </c>
      <c r="B371" s="13" t="s">
        <v>41</v>
      </c>
      <c r="C371" s="13" t="s">
        <v>16</v>
      </c>
      <c r="D371" s="13" t="s">
        <v>11</v>
      </c>
      <c r="E371" s="13">
        <v>2021</v>
      </c>
      <c r="F371" s="13">
        <v>2.6405263157894701</v>
      </c>
      <c r="G371" s="13" t="s">
        <v>49</v>
      </c>
    </row>
    <row r="372" spans="1:7">
      <c r="A372" s="13">
        <v>418</v>
      </c>
      <c r="B372" s="13" t="s">
        <v>41</v>
      </c>
      <c r="C372" s="13" t="s">
        <v>16</v>
      </c>
      <c r="D372" s="13" t="s">
        <v>11</v>
      </c>
      <c r="E372" s="13">
        <v>2022</v>
      </c>
      <c r="F372" s="13">
        <v>4.2041399999999998</v>
      </c>
      <c r="G372" s="13" t="s">
        <v>49</v>
      </c>
    </row>
    <row r="373" spans="1:7">
      <c r="A373" s="13">
        <v>482</v>
      </c>
      <c r="B373" s="13" t="s">
        <v>41</v>
      </c>
      <c r="C373" s="13" t="s">
        <v>16</v>
      </c>
      <c r="D373" s="13" t="s">
        <v>11</v>
      </c>
      <c r="E373" s="13">
        <v>2022</v>
      </c>
      <c r="F373" s="13">
        <v>4.3391666666666602</v>
      </c>
      <c r="G373" s="13" t="s">
        <v>49</v>
      </c>
    </row>
    <row r="374" spans="1:7">
      <c r="A374" s="13">
        <v>183</v>
      </c>
      <c r="B374" s="13" t="s">
        <v>41</v>
      </c>
      <c r="C374" s="13" t="s">
        <v>16</v>
      </c>
      <c r="D374" s="13" t="s">
        <v>13</v>
      </c>
      <c r="E374" s="13">
        <v>2019</v>
      </c>
      <c r="F374" s="13">
        <v>3.9728068965517198</v>
      </c>
      <c r="G374" s="13" t="s">
        <v>49</v>
      </c>
    </row>
    <row r="375" spans="1:7">
      <c r="A375" s="13">
        <v>248</v>
      </c>
      <c r="B375" s="13" t="s">
        <v>41</v>
      </c>
      <c r="C375" s="13" t="s">
        <v>16</v>
      </c>
      <c r="D375" s="13" t="s">
        <v>13</v>
      </c>
      <c r="E375" s="13">
        <v>2019</v>
      </c>
      <c r="F375" s="13">
        <v>4.8781384615384598</v>
      </c>
      <c r="G375" s="13" t="s">
        <v>49</v>
      </c>
    </row>
    <row r="376" spans="1:7">
      <c r="A376" s="13">
        <v>375</v>
      </c>
      <c r="B376" s="13" t="s">
        <v>41</v>
      </c>
      <c r="C376" s="13" t="s">
        <v>16</v>
      </c>
      <c r="D376" s="13" t="s">
        <v>11</v>
      </c>
      <c r="E376" s="13">
        <v>2021</v>
      </c>
      <c r="F376" s="13">
        <v>4.8644444444444401</v>
      </c>
      <c r="G376" s="13" t="s">
        <v>49</v>
      </c>
    </row>
    <row r="377" spans="1:7">
      <c r="A377" s="13">
        <v>143</v>
      </c>
      <c r="B377" s="13" t="s">
        <v>41</v>
      </c>
      <c r="C377" s="13" t="s">
        <v>16</v>
      </c>
      <c r="D377" s="13" t="s">
        <v>13</v>
      </c>
      <c r="E377" s="13">
        <v>2019</v>
      </c>
      <c r="F377" s="13">
        <v>6.0902181818181802</v>
      </c>
      <c r="G377" s="13" t="s">
        <v>47</v>
      </c>
    </row>
    <row r="378" spans="1:7">
      <c r="A378" s="13">
        <v>467</v>
      </c>
      <c r="B378" s="13" t="s">
        <v>41</v>
      </c>
      <c r="C378" s="13" t="s">
        <v>16</v>
      </c>
      <c r="D378" s="13" t="s">
        <v>13</v>
      </c>
      <c r="E378" s="13">
        <v>2022</v>
      </c>
      <c r="F378" s="13">
        <v>5.8370370370370299</v>
      </c>
      <c r="G378" s="13" t="s">
        <v>47</v>
      </c>
    </row>
    <row r="379" spans="1:7">
      <c r="A379" s="13">
        <v>211</v>
      </c>
      <c r="B379" s="13" t="s">
        <v>41</v>
      </c>
      <c r="C379" s="13" t="s">
        <v>9</v>
      </c>
      <c r="D379" s="13" t="s">
        <v>21</v>
      </c>
      <c r="E379" s="13">
        <v>2019</v>
      </c>
      <c r="F379" s="13">
        <v>21.037025</v>
      </c>
      <c r="G379" s="13" t="s">
        <v>48</v>
      </c>
    </row>
    <row r="380" spans="1:7">
      <c r="A380" s="13">
        <v>317</v>
      </c>
      <c r="B380" s="13" t="s">
        <v>41</v>
      </c>
      <c r="C380" s="13" t="s">
        <v>16</v>
      </c>
      <c r="D380" s="13" t="s">
        <v>13</v>
      </c>
      <c r="E380" s="13">
        <v>2021</v>
      </c>
      <c r="F380" s="13">
        <v>4.4232380952380899</v>
      </c>
      <c r="G380" s="13" t="s">
        <v>49</v>
      </c>
    </row>
    <row r="381" spans="1:7">
      <c r="A381" s="13">
        <v>391</v>
      </c>
      <c r="B381" s="13" t="s">
        <v>41</v>
      </c>
      <c r="C381" s="13" t="s">
        <v>16</v>
      </c>
      <c r="D381" s="13" t="s">
        <v>13</v>
      </c>
      <c r="E381" s="13">
        <v>2021</v>
      </c>
      <c r="F381" s="13">
        <v>4.4545454545454497</v>
      </c>
      <c r="G381" s="13" t="s">
        <v>49</v>
      </c>
    </row>
    <row r="382" spans="1:7">
      <c r="A382" s="13">
        <v>333</v>
      </c>
      <c r="B382" s="13" t="s">
        <v>41</v>
      </c>
      <c r="C382" s="13" t="s">
        <v>16</v>
      </c>
      <c r="D382" s="13" t="s">
        <v>13</v>
      </c>
      <c r="E382" s="13">
        <v>2021</v>
      </c>
      <c r="F382" s="13">
        <v>4.0531199999999998</v>
      </c>
      <c r="G382" s="13" t="s">
        <v>49</v>
      </c>
    </row>
    <row r="383" spans="1:7">
      <c r="A383" s="13">
        <v>315</v>
      </c>
      <c r="B383" s="13" t="s">
        <v>41</v>
      </c>
      <c r="C383" s="13" t="s">
        <v>16</v>
      </c>
      <c r="D383" s="13" t="s">
        <v>13</v>
      </c>
      <c r="E383" s="13">
        <v>2021</v>
      </c>
      <c r="F383" s="13">
        <v>3.8167741935483801</v>
      </c>
      <c r="G383" s="13" t="s">
        <v>49</v>
      </c>
    </row>
    <row r="384" spans="1:7">
      <c r="A384" s="13">
        <v>485</v>
      </c>
      <c r="B384" s="13" t="s">
        <v>41</v>
      </c>
      <c r="C384" s="13" t="s">
        <v>16</v>
      </c>
      <c r="D384" s="13" t="s">
        <v>13</v>
      </c>
      <c r="E384" s="13">
        <v>2022</v>
      </c>
      <c r="F384" s="13">
        <v>4.6324074074074</v>
      </c>
      <c r="G384" s="13" t="s">
        <v>49</v>
      </c>
    </row>
    <row r="385" spans="1:7">
      <c r="A385" s="13">
        <v>98</v>
      </c>
      <c r="B385" s="13" t="s">
        <v>41</v>
      </c>
      <c r="C385" s="13" t="s">
        <v>16</v>
      </c>
      <c r="D385" s="13" t="s">
        <v>11</v>
      </c>
      <c r="E385" s="13">
        <v>2018</v>
      </c>
      <c r="F385" s="13">
        <v>4.8647692307692303</v>
      </c>
      <c r="G385" s="13" t="s">
        <v>49</v>
      </c>
    </row>
    <row r="386" spans="1:7">
      <c r="A386" s="13">
        <v>338</v>
      </c>
      <c r="B386" s="13" t="s">
        <v>41</v>
      </c>
      <c r="C386" s="13" t="s">
        <v>16</v>
      </c>
      <c r="D386" s="13" t="s">
        <v>13</v>
      </c>
      <c r="E386" s="13">
        <v>2021</v>
      </c>
      <c r="F386" s="13">
        <v>5.6190769230769204</v>
      </c>
      <c r="G386" s="13" t="s">
        <v>47</v>
      </c>
    </row>
    <row r="387" spans="1:7">
      <c r="A387" s="13">
        <v>63</v>
      </c>
      <c r="B387" s="13" t="s">
        <v>41</v>
      </c>
      <c r="C387" s="13" t="s">
        <v>16</v>
      </c>
      <c r="D387" s="13" t="s">
        <v>11</v>
      </c>
      <c r="E387" s="13">
        <v>2018</v>
      </c>
      <c r="F387" s="13">
        <v>3.15300266666666</v>
      </c>
      <c r="G387" s="13" t="s">
        <v>49</v>
      </c>
    </row>
    <row r="388" spans="1:7">
      <c r="A388" s="13">
        <v>88</v>
      </c>
      <c r="B388" s="13" t="s">
        <v>41</v>
      </c>
      <c r="C388" s="13" t="s">
        <v>16</v>
      </c>
      <c r="D388" s="13" t="s">
        <v>13</v>
      </c>
      <c r="E388" s="13">
        <v>2018</v>
      </c>
      <c r="F388" s="13">
        <v>3.6739307692307599</v>
      </c>
      <c r="G388" s="13" t="s">
        <v>49</v>
      </c>
    </row>
    <row r="389" spans="1:7">
      <c r="A389" s="13">
        <v>194</v>
      </c>
      <c r="B389" s="13" t="s">
        <v>41</v>
      </c>
      <c r="C389" s="13" t="s">
        <v>16</v>
      </c>
      <c r="D389" s="13" t="s">
        <v>24</v>
      </c>
      <c r="E389" s="13">
        <v>2019</v>
      </c>
      <c r="F389" s="13">
        <v>5.1361499999999998</v>
      </c>
      <c r="G389" s="13" t="s">
        <v>47</v>
      </c>
    </row>
    <row r="390" spans="1:7">
      <c r="A390" s="13">
        <v>153</v>
      </c>
      <c r="B390" s="13" t="s">
        <v>41</v>
      </c>
      <c r="C390" s="13" t="s">
        <v>16</v>
      </c>
      <c r="D390" s="13" t="s">
        <v>11</v>
      </c>
      <c r="E390" s="13">
        <v>2019</v>
      </c>
      <c r="F390" s="13">
        <v>2.7708923076923</v>
      </c>
      <c r="G390" s="13" t="s">
        <v>49</v>
      </c>
    </row>
    <row r="391" spans="1:7">
      <c r="A391" s="13">
        <v>94</v>
      </c>
      <c r="B391" s="13" t="s">
        <v>41</v>
      </c>
      <c r="C391" s="13" t="s">
        <v>16</v>
      </c>
      <c r="D391" s="13" t="s">
        <v>13</v>
      </c>
      <c r="E391" s="13">
        <v>2018</v>
      </c>
      <c r="F391" s="13">
        <v>3.4619444444444398</v>
      </c>
      <c r="G391" s="13" t="s">
        <v>49</v>
      </c>
    </row>
    <row r="392" spans="1:7">
      <c r="A392" s="13">
        <v>45</v>
      </c>
      <c r="B392" s="13" t="s">
        <v>41</v>
      </c>
      <c r="C392" s="13" t="s">
        <v>16</v>
      </c>
      <c r="D392" s="13" t="s">
        <v>13</v>
      </c>
      <c r="E392" s="13">
        <v>2018</v>
      </c>
      <c r="F392" s="13">
        <v>2.82296296296296</v>
      </c>
      <c r="G392" s="13" t="s">
        <v>49</v>
      </c>
    </row>
    <row r="393" spans="1:7">
      <c r="A393" s="13">
        <v>234</v>
      </c>
      <c r="B393" s="13" t="s">
        <v>41</v>
      </c>
      <c r="C393" s="13" t="s">
        <v>16</v>
      </c>
      <c r="D393" s="13" t="s">
        <v>13</v>
      </c>
      <c r="E393" s="13">
        <v>2019</v>
      </c>
      <c r="F393" s="13">
        <v>2.6188555555555499</v>
      </c>
      <c r="G393" s="13" t="s">
        <v>49</v>
      </c>
    </row>
    <row r="394" spans="1:7">
      <c r="A394" s="13">
        <v>214</v>
      </c>
      <c r="B394" s="13" t="s">
        <v>41</v>
      </c>
      <c r="C394" s="13" t="s">
        <v>16</v>
      </c>
      <c r="D394" s="13" t="s">
        <v>13</v>
      </c>
      <c r="E394" s="13">
        <v>2019</v>
      </c>
      <c r="F394" s="13">
        <v>3.1759200000000001</v>
      </c>
      <c r="G394" s="13" t="s">
        <v>49</v>
      </c>
    </row>
    <row r="395" spans="1:7">
      <c r="A395" s="13">
        <v>141</v>
      </c>
      <c r="B395" s="13" t="s">
        <v>41</v>
      </c>
      <c r="C395" s="13" t="s">
        <v>16</v>
      </c>
      <c r="D395" s="13" t="s">
        <v>11</v>
      </c>
      <c r="E395" s="13">
        <v>2019</v>
      </c>
      <c r="F395" s="13">
        <v>4.0421333333333296</v>
      </c>
      <c r="G395" s="13" t="s">
        <v>49</v>
      </c>
    </row>
    <row r="396" spans="1:7">
      <c r="A396" s="13">
        <v>256</v>
      </c>
      <c r="B396" s="13" t="s">
        <v>41</v>
      </c>
      <c r="C396" s="13" t="s">
        <v>16</v>
      </c>
      <c r="D396" s="13" t="s">
        <v>11</v>
      </c>
      <c r="E396" s="13">
        <v>2020</v>
      </c>
      <c r="F396" s="13">
        <v>4.8134920634920597</v>
      </c>
      <c r="G396" s="13" t="s">
        <v>49</v>
      </c>
    </row>
    <row r="397" spans="1:7">
      <c r="A397" s="13">
        <v>132</v>
      </c>
      <c r="B397" s="13" t="s">
        <v>41</v>
      </c>
      <c r="C397" s="13" t="s">
        <v>16</v>
      </c>
      <c r="D397" s="13" t="s">
        <v>11</v>
      </c>
      <c r="E397" s="13">
        <v>2019</v>
      </c>
      <c r="F397" s="13">
        <v>3.8301333333333298</v>
      </c>
      <c r="G397" s="13" t="s">
        <v>49</v>
      </c>
    </row>
    <row r="398" spans="1:7">
      <c r="A398" s="13">
        <v>414</v>
      </c>
      <c r="B398" s="13" t="s">
        <v>41</v>
      </c>
      <c r="C398" s="13" t="s">
        <v>16</v>
      </c>
      <c r="D398" s="13" t="s">
        <v>24</v>
      </c>
      <c r="E398" s="13">
        <v>2022</v>
      </c>
      <c r="F398" s="13">
        <v>4.6429083333333301</v>
      </c>
      <c r="G398" s="13" t="s">
        <v>49</v>
      </c>
    </row>
    <row r="399" spans="1:7">
      <c r="A399" s="13">
        <v>498</v>
      </c>
      <c r="B399" s="13" t="s">
        <v>41</v>
      </c>
      <c r="C399" s="13" t="s">
        <v>16</v>
      </c>
      <c r="D399" s="13" t="s">
        <v>24</v>
      </c>
      <c r="E399" s="13">
        <v>2022</v>
      </c>
      <c r="F399" s="13">
        <v>4.12183908045977</v>
      </c>
      <c r="G399" s="13" t="s">
        <v>49</v>
      </c>
    </row>
    <row r="400" spans="1:7">
      <c r="A400" s="13">
        <v>128</v>
      </c>
      <c r="B400" s="13" t="s">
        <v>41</v>
      </c>
      <c r="C400" s="13" t="s">
        <v>16</v>
      </c>
      <c r="D400" s="13" t="s">
        <v>11</v>
      </c>
      <c r="E400" s="13">
        <v>2019</v>
      </c>
      <c r="F400" s="13">
        <v>6.0151466666666602</v>
      </c>
      <c r="G400" s="13" t="s">
        <v>47</v>
      </c>
    </row>
    <row r="401" spans="1:7">
      <c r="A401" s="13">
        <v>191</v>
      </c>
      <c r="B401" s="13" t="s">
        <v>41</v>
      </c>
      <c r="C401" s="13" t="s">
        <v>16</v>
      </c>
      <c r="D401" s="13" t="s">
        <v>11</v>
      </c>
      <c r="E401" s="13">
        <v>2019</v>
      </c>
      <c r="F401" s="13">
        <v>4.1494799999999996</v>
      </c>
      <c r="G401" s="13" t="s">
        <v>49</v>
      </c>
    </row>
    <row r="402" spans="1:7">
      <c r="A402" s="13">
        <v>121</v>
      </c>
      <c r="B402" s="13" t="s">
        <v>41</v>
      </c>
      <c r="C402" s="13" t="s">
        <v>16</v>
      </c>
      <c r="D402" s="13" t="s">
        <v>11</v>
      </c>
      <c r="E402" s="13">
        <v>2019</v>
      </c>
      <c r="F402" s="13">
        <v>6.2283833333333298</v>
      </c>
      <c r="G402" s="13" t="s">
        <v>47</v>
      </c>
    </row>
    <row r="403" spans="1:7">
      <c r="A403" s="13">
        <v>68</v>
      </c>
      <c r="B403" s="13" t="s">
        <v>41</v>
      </c>
      <c r="C403" s="13" t="s">
        <v>16</v>
      </c>
      <c r="D403" s="13" t="s">
        <v>13</v>
      </c>
      <c r="E403" s="13">
        <v>2018</v>
      </c>
      <c r="F403" s="13">
        <v>6.0267174603174603</v>
      </c>
      <c r="G403" s="13" t="s">
        <v>47</v>
      </c>
    </row>
    <row r="404" spans="1:7">
      <c r="A404" s="13">
        <v>353</v>
      </c>
      <c r="B404" s="13" t="s">
        <v>41</v>
      </c>
      <c r="C404" s="13" t="s">
        <v>16</v>
      </c>
      <c r="D404" s="13" t="s">
        <v>24</v>
      </c>
      <c r="E404" s="13">
        <v>2021</v>
      </c>
      <c r="F404" s="13">
        <v>4.2345333333333297</v>
      </c>
      <c r="G404" s="13" t="s">
        <v>49</v>
      </c>
    </row>
    <row r="405" spans="1:7">
      <c r="A405" s="13">
        <v>267</v>
      </c>
      <c r="B405" s="13" t="s">
        <v>41</v>
      </c>
      <c r="C405" s="13" t="s">
        <v>16</v>
      </c>
      <c r="D405" s="13" t="s">
        <v>11</v>
      </c>
      <c r="E405" s="13">
        <v>2020</v>
      </c>
      <c r="F405" s="13">
        <v>5.1713333333333296</v>
      </c>
      <c r="G405" s="13" t="s">
        <v>47</v>
      </c>
    </row>
    <row r="406" spans="1:7">
      <c r="A406" s="13">
        <v>90</v>
      </c>
      <c r="B406" s="13" t="s">
        <v>41</v>
      </c>
      <c r="C406" s="13" t="s">
        <v>16</v>
      </c>
      <c r="D406" s="13" t="s">
        <v>13</v>
      </c>
      <c r="E406" s="13">
        <v>2018</v>
      </c>
      <c r="F406" s="13">
        <v>5.5939013888888898</v>
      </c>
      <c r="G406" s="13" t="s">
        <v>47</v>
      </c>
    </row>
    <row r="407" spans="1:7">
      <c r="A407" s="13">
        <v>222</v>
      </c>
      <c r="B407" s="13" t="s">
        <v>41</v>
      </c>
      <c r="C407" s="13" t="s">
        <v>16</v>
      </c>
      <c r="D407" s="13" t="s">
        <v>13</v>
      </c>
      <c r="E407" s="13">
        <v>2019</v>
      </c>
      <c r="F407" s="13">
        <v>5.8301472222222204</v>
      </c>
      <c r="G407" s="13" t="s">
        <v>47</v>
      </c>
    </row>
    <row r="408" spans="1:7">
      <c r="A408" s="13">
        <v>378</v>
      </c>
      <c r="B408" s="13" t="s">
        <v>41</v>
      </c>
      <c r="C408" s="13" t="s">
        <v>16</v>
      </c>
      <c r="D408" s="13" t="s">
        <v>24</v>
      </c>
      <c r="E408" s="13">
        <v>2021</v>
      </c>
      <c r="F408" s="13">
        <v>7.5067368421052603</v>
      </c>
      <c r="G408" s="13" t="s">
        <v>47</v>
      </c>
    </row>
    <row r="409" spans="1:7">
      <c r="A409" s="13">
        <v>149</v>
      </c>
      <c r="B409" s="13" t="s">
        <v>41</v>
      </c>
      <c r="C409" s="13" t="s">
        <v>9</v>
      </c>
      <c r="D409" s="13" t="s">
        <v>21</v>
      </c>
      <c r="E409" s="13">
        <v>2019</v>
      </c>
      <c r="F409" s="13">
        <v>8.3128285714285699</v>
      </c>
      <c r="G409" s="13" t="s">
        <v>47</v>
      </c>
    </row>
    <row r="410" spans="1:7">
      <c r="A410" s="13">
        <v>159</v>
      </c>
      <c r="B410" s="13" t="s">
        <v>41</v>
      </c>
      <c r="C410" s="13" t="s">
        <v>16</v>
      </c>
      <c r="D410" s="13" t="s">
        <v>13</v>
      </c>
      <c r="E410" s="13">
        <v>2019</v>
      </c>
      <c r="F410" s="13">
        <v>3.113</v>
      </c>
      <c r="G410" s="13" t="s">
        <v>49</v>
      </c>
    </row>
    <row r="411" spans="1:7">
      <c r="A411" s="13">
        <v>198</v>
      </c>
      <c r="B411" s="13" t="s">
        <v>41</v>
      </c>
      <c r="C411" s="13" t="s">
        <v>16</v>
      </c>
      <c r="D411" s="13" t="s">
        <v>13</v>
      </c>
      <c r="E411" s="13">
        <v>2019</v>
      </c>
      <c r="F411" s="13">
        <v>2.7231749999999999</v>
      </c>
      <c r="G411" s="13" t="s">
        <v>49</v>
      </c>
    </row>
    <row r="412" spans="1:7">
      <c r="A412" s="13">
        <v>203</v>
      </c>
      <c r="B412" s="13" t="s">
        <v>41</v>
      </c>
      <c r="C412" s="13" t="s">
        <v>16</v>
      </c>
      <c r="D412" s="13" t="s">
        <v>13</v>
      </c>
      <c r="E412" s="13">
        <v>2019</v>
      </c>
      <c r="F412" s="13">
        <v>5.6864571428571402</v>
      </c>
      <c r="G412" s="13" t="s">
        <v>47</v>
      </c>
    </row>
    <row r="413" spans="1:7">
      <c r="A413" s="13">
        <v>186</v>
      </c>
      <c r="B413" s="13" t="s">
        <v>41</v>
      </c>
      <c r="C413" s="13" t="s">
        <v>16</v>
      </c>
      <c r="D413" s="13" t="s">
        <v>13</v>
      </c>
      <c r="E413" s="13">
        <v>2019</v>
      </c>
      <c r="F413" s="13">
        <v>5.2050666666666601</v>
      </c>
      <c r="G413" s="13" t="s">
        <v>47</v>
      </c>
    </row>
    <row r="414" spans="1:7">
      <c r="A414" s="13">
        <v>273</v>
      </c>
      <c r="B414" s="13" t="s">
        <v>41</v>
      </c>
      <c r="C414" s="13" t="s">
        <v>16</v>
      </c>
      <c r="D414" s="13" t="s">
        <v>13</v>
      </c>
      <c r="E414" s="13">
        <v>2020</v>
      </c>
      <c r="F414" s="13">
        <v>7.2802083333333298</v>
      </c>
      <c r="G414" s="13" t="s">
        <v>47</v>
      </c>
    </row>
    <row r="415" spans="1:7">
      <c r="A415" s="13">
        <v>417</v>
      </c>
      <c r="B415" s="13" t="s">
        <v>41</v>
      </c>
      <c r="C415" s="13" t="s">
        <v>16</v>
      </c>
      <c r="D415" s="13" t="s">
        <v>13</v>
      </c>
      <c r="E415" s="13">
        <v>2022</v>
      </c>
      <c r="F415" s="13">
        <v>3.4532933333333302</v>
      </c>
      <c r="G415" s="13" t="s">
        <v>49</v>
      </c>
    </row>
    <row r="416" spans="1:7">
      <c r="A416" s="13">
        <v>95</v>
      </c>
      <c r="B416" s="13" t="s">
        <v>41</v>
      </c>
      <c r="C416" s="13" t="s">
        <v>16</v>
      </c>
      <c r="D416" s="13" t="s">
        <v>24</v>
      </c>
      <c r="E416" s="13">
        <v>2018</v>
      </c>
      <c r="F416" s="13">
        <v>3.5817954022988499</v>
      </c>
      <c r="G416" s="13" t="s">
        <v>49</v>
      </c>
    </row>
    <row r="417" spans="1:7">
      <c r="A417" s="13">
        <v>443</v>
      </c>
      <c r="B417" s="13" t="s">
        <v>41</v>
      </c>
      <c r="C417" s="13" t="s">
        <v>16</v>
      </c>
      <c r="D417" s="13" t="s">
        <v>13</v>
      </c>
      <c r="E417" s="13">
        <v>2022</v>
      </c>
      <c r="F417" s="13">
        <v>3.5847666666666602</v>
      </c>
      <c r="G417" s="13" t="s">
        <v>49</v>
      </c>
    </row>
    <row r="418" spans="1:7">
      <c r="A418" s="13">
        <v>474</v>
      </c>
      <c r="B418" s="13" t="s">
        <v>41</v>
      </c>
      <c r="C418" s="13" t="s">
        <v>16</v>
      </c>
      <c r="D418" s="13" t="s">
        <v>13</v>
      </c>
      <c r="E418" s="13">
        <v>2022</v>
      </c>
      <c r="F418" s="13">
        <v>5.9877192982456098</v>
      </c>
      <c r="G418" s="13" t="s">
        <v>47</v>
      </c>
    </row>
    <row r="419" spans="1:7">
      <c r="A419" s="13">
        <v>432</v>
      </c>
      <c r="B419" s="13" t="s">
        <v>41</v>
      </c>
      <c r="C419" s="13" t="s">
        <v>16</v>
      </c>
      <c r="D419" s="13" t="s">
        <v>13</v>
      </c>
      <c r="E419" s="13">
        <v>2022</v>
      </c>
      <c r="F419" s="13">
        <v>6.2450454545454503</v>
      </c>
      <c r="G419" s="13" t="s">
        <v>47</v>
      </c>
    </row>
    <row r="420" spans="1:7">
      <c r="A420" s="13">
        <v>92</v>
      </c>
      <c r="B420" s="13" t="s">
        <v>41</v>
      </c>
      <c r="C420" s="13" t="s">
        <v>16</v>
      </c>
      <c r="D420" s="13" t="s">
        <v>13</v>
      </c>
      <c r="E420" s="13">
        <v>2018</v>
      </c>
      <c r="F420" s="13">
        <v>3.3394448717948699</v>
      </c>
      <c r="G420" s="13" t="s">
        <v>49</v>
      </c>
    </row>
    <row r="421" spans="1:7">
      <c r="A421" s="13">
        <v>120</v>
      </c>
      <c r="B421" s="13" t="s">
        <v>41</v>
      </c>
      <c r="C421" s="13" t="s">
        <v>16</v>
      </c>
      <c r="D421" s="13" t="s">
        <v>11</v>
      </c>
      <c r="E421" s="13">
        <v>2018</v>
      </c>
      <c r="F421" s="13">
        <v>5.20508333333333</v>
      </c>
      <c r="G421" s="13" t="s">
        <v>47</v>
      </c>
    </row>
    <row r="422" spans="1:7">
      <c r="A422" s="13">
        <v>240</v>
      </c>
      <c r="B422" s="13" t="s">
        <v>41</v>
      </c>
      <c r="C422" s="13" t="s">
        <v>16</v>
      </c>
      <c r="D422" s="13" t="s">
        <v>13</v>
      </c>
      <c r="E422" s="13">
        <v>2019</v>
      </c>
      <c r="F422" s="13">
        <v>4.2661214285714202</v>
      </c>
      <c r="G422" s="13" t="s">
        <v>49</v>
      </c>
    </row>
    <row r="423" spans="1:7">
      <c r="A423" s="13">
        <v>103</v>
      </c>
      <c r="B423" s="13" t="s">
        <v>41</v>
      </c>
      <c r="C423" s="13" t="s">
        <v>16</v>
      </c>
      <c r="D423" s="13" t="s">
        <v>13</v>
      </c>
      <c r="E423" s="13">
        <v>2018</v>
      </c>
      <c r="F423" s="13">
        <v>3.7233813333333301</v>
      </c>
      <c r="G423" s="13" t="s">
        <v>49</v>
      </c>
    </row>
    <row r="424" spans="1:7">
      <c r="A424" s="13">
        <v>89</v>
      </c>
      <c r="B424" s="13" t="s">
        <v>41</v>
      </c>
      <c r="C424" s="13" t="s">
        <v>16</v>
      </c>
      <c r="D424" s="13" t="s">
        <v>13</v>
      </c>
      <c r="E424" s="13">
        <v>2018</v>
      </c>
      <c r="F424" s="13">
        <v>4.7221481481481398</v>
      </c>
      <c r="G424" s="13" t="s">
        <v>49</v>
      </c>
    </row>
    <row r="425" spans="1:7">
      <c r="A425" s="13">
        <v>484</v>
      </c>
      <c r="B425" s="13" t="s">
        <v>41</v>
      </c>
      <c r="C425" s="13" t="s">
        <v>16</v>
      </c>
      <c r="D425" s="13" t="s">
        <v>29</v>
      </c>
      <c r="E425" s="13">
        <v>2022</v>
      </c>
      <c r="F425" s="13">
        <v>11.7057291666666</v>
      </c>
      <c r="G425" s="13" t="s">
        <v>48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8B5E9-8ED1-C348-A47B-CA861E572CED}">
  <dimension ref="A1:AC501"/>
  <sheetViews>
    <sheetView workbookViewId="0">
      <selection activeCell="X475" sqref="X475:X501"/>
    </sheetView>
  </sheetViews>
  <sheetFormatPr baseColWidth="10" defaultRowHeight="16"/>
  <cols>
    <col min="12" max="12" width="20.1640625" bestFit="1" customWidth="1"/>
    <col min="24" max="24" width="17.1640625" customWidth="1"/>
    <col min="28" max="28" width="18.83203125" bestFit="1" customWidth="1"/>
    <col min="29" max="29" width="18.5" bestFit="1" customWidth="1"/>
  </cols>
  <sheetData>
    <row r="1" spans="1:29">
      <c r="A1" t="s">
        <v>0</v>
      </c>
      <c r="B1" t="s">
        <v>1</v>
      </c>
      <c r="C1" t="s">
        <v>2</v>
      </c>
      <c r="D1" t="s">
        <v>3</v>
      </c>
      <c r="E1" t="s">
        <v>4</v>
      </c>
      <c r="F1" t="s">
        <v>5</v>
      </c>
      <c r="G1" t="s">
        <v>6</v>
      </c>
      <c r="H1" t="s">
        <v>7</v>
      </c>
      <c r="I1" t="s">
        <v>8</v>
      </c>
      <c r="J1" t="s">
        <v>37</v>
      </c>
      <c r="K1" t="s">
        <v>94</v>
      </c>
      <c r="L1" t="s">
        <v>38</v>
      </c>
      <c r="M1" t="s">
        <v>39</v>
      </c>
      <c r="N1" t="s">
        <v>95</v>
      </c>
      <c r="O1" t="s">
        <v>96</v>
      </c>
      <c r="P1" t="s">
        <v>97</v>
      </c>
      <c r="Q1" t="s">
        <v>98</v>
      </c>
      <c r="R1" t="s">
        <v>99</v>
      </c>
      <c r="S1" t="s">
        <v>100</v>
      </c>
      <c r="T1" t="s">
        <v>101</v>
      </c>
      <c r="U1" t="s">
        <v>102</v>
      </c>
      <c r="V1" t="s">
        <v>103</v>
      </c>
      <c r="W1" t="s">
        <v>104</v>
      </c>
      <c r="X1" t="s">
        <v>105</v>
      </c>
      <c r="Y1" t="s">
        <v>42</v>
      </c>
      <c r="Z1" t="s">
        <v>43</v>
      </c>
      <c r="AA1" t="s">
        <v>44</v>
      </c>
      <c r="AB1" t="s">
        <v>45</v>
      </c>
      <c r="AC1" t="s">
        <v>46</v>
      </c>
    </row>
    <row r="2" spans="1:29">
      <c r="A2">
        <v>69</v>
      </c>
      <c r="B2" t="s">
        <v>9</v>
      </c>
      <c r="C2" t="s">
        <v>19</v>
      </c>
      <c r="D2" t="s">
        <v>11</v>
      </c>
      <c r="E2">
        <v>165</v>
      </c>
      <c r="F2">
        <v>2018</v>
      </c>
      <c r="G2" t="s">
        <v>14</v>
      </c>
      <c r="H2">
        <v>92378</v>
      </c>
      <c r="I2">
        <v>0</v>
      </c>
      <c r="J2">
        <v>5</v>
      </c>
      <c r="K2">
        <v>190</v>
      </c>
      <c r="L2" t="s">
        <v>40</v>
      </c>
      <c r="M2">
        <v>92</v>
      </c>
      <c r="N2" t="s">
        <v>20</v>
      </c>
      <c r="O2" t="s">
        <v>23</v>
      </c>
      <c r="P2" t="s">
        <v>13</v>
      </c>
      <c r="Q2">
        <v>205</v>
      </c>
      <c r="R2">
        <v>2019</v>
      </c>
      <c r="S2" t="s">
        <v>14</v>
      </c>
      <c r="T2">
        <v>87276.160000000003</v>
      </c>
      <c r="U2">
        <v>5</v>
      </c>
      <c r="V2" t="s">
        <v>16</v>
      </c>
      <c r="W2" t="s">
        <v>19</v>
      </c>
      <c r="X2">
        <v>20330</v>
      </c>
      <c r="Y2">
        <v>950</v>
      </c>
      <c r="Z2">
        <v>175</v>
      </c>
      <c r="AA2">
        <v>9300</v>
      </c>
      <c r="AB2" s="1">
        <v>2.1860215053763401</v>
      </c>
      <c r="AC2" t="s">
        <v>49</v>
      </c>
    </row>
    <row r="3" spans="1:29">
      <c r="A3">
        <v>259</v>
      </c>
      <c r="B3" t="s">
        <v>20</v>
      </c>
      <c r="C3" t="s">
        <v>10</v>
      </c>
      <c r="D3" t="s">
        <v>11</v>
      </c>
      <c r="E3">
        <v>155</v>
      </c>
      <c r="F3">
        <v>2020</v>
      </c>
      <c r="G3" t="s">
        <v>14</v>
      </c>
      <c r="H3">
        <v>134545</v>
      </c>
      <c r="I3">
        <v>0</v>
      </c>
      <c r="J3">
        <v>94</v>
      </c>
      <c r="K3">
        <v>124</v>
      </c>
      <c r="L3" t="s">
        <v>40</v>
      </c>
      <c r="M3">
        <v>80</v>
      </c>
      <c r="N3" t="s">
        <v>9</v>
      </c>
      <c r="O3" t="s">
        <v>23</v>
      </c>
      <c r="P3" t="s">
        <v>11</v>
      </c>
      <c r="Q3">
        <v>145</v>
      </c>
      <c r="R3">
        <v>2019</v>
      </c>
      <c r="S3" t="s">
        <v>12</v>
      </c>
      <c r="T3">
        <v>100567.5</v>
      </c>
      <c r="U3">
        <v>94</v>
      </c>
      <c r="V3" t="s">
        <v>16</v>
      </c>
      <c r="W3" t="s">
        <v>19</v>
      </c>
      <c r="X3">
        <v>21810.25</v>
      </c>
      <c r="Y3">
        <v>875</v>
      </c>
      <c r="Z3">
        <v>350</v>
      </c>
      <c r="AA3">
        <v>6300</v>
      </c>
      <c r="AB3" s="1">
        <v>3.4619444444444398</v>
      </c>
      <c r="AC3" t="s">
        <v>49</v>
      </c>
    </row>
    <row r="4" spans="1:29">
      <c r="A4">
        <v>472</v>
      </c>
      <c r="B4" t="s">
        <v>9</v>
      </c>
      <c r="C4" t="s">
        <v>15</v>
      </c>
      <c r="D4" t="s">
        <v>24</v>
      </c>
      <c r="E4">
        <v>140</v>
      </c>
      <c r="F4">
        <v>2022</v>
      </c>
      <c r="G4" t="s">
        <v>18</v>
      </c>
      <c r="H4">
        <v>117221.25</v>
      </c>
      <c r="I4">
        <v>0</v>
      </c>
      <c r="J4">
        <v>61</v>
      </c>
      <c r="K4">
        <v>201</v>
      </c>
      <c r="L4" t="s">
        <v>40</v>
      </c>
      <c r="M4">
        <v>84</v>
      </c>
      <c r="N4" t="s">
        <v>9</v>
      </c>
      <c r="O4" t="s">
        <v>23</v>
      </c>
      <c r="P4" t="s">
        <v>11</v>
      </c>
      <c r="Q4">
        <v>170</v>
      </c>
      <c r="R4">
        <v>2019</v>
      </c>
      <c r="S4" t="s">
        <v>18</v>
      </c>
      <c r="T4">
        <v>90472.06</v>
      </c>
      <c r="U4">
        <v>61</v>
      </c>
      <c r="V4" t="s">
        <v>16</v>
      </c>
      <c r="W4" t="s">
        <v>10</v>
      </c>
      <c r="X4">
        <v>21848.400000000001</v>
      </c>
      <c r="Y4">
        <v>825</v>
      </c>
      <c r="Z4">
        <v>375</v>
      </c>
      <c r="AA4">
        <v>5400</v>
      </c>
      <c r="AB4">
        <v>4.0460000000000003</v>
      </c>
      <c r="AC4" t="s">
        <v>49</v>
      </c>
    </row>
    <row r="5" spans="1:29">
      <c r="A5">
        <v>365</v>
      </c>
      <c r="B5" t="s">
        <v>16</v>
      </c>
      <c r="C5" t="s">
        <v>10</v>
      </c>
      <c r="D5" t="s">
        <v>11</v>
      </c>
      <c r="E5">
        <v>155</v>
      </c>
      <c r="F5">
        <v>2021</v>
      </c>
      <c r="G5" t="s">
        <v>12</v>
      </c>
      <c r="H5">
        <v>33969.599999999999</v>
      </c>
      <c r="I5">
        <v>0</v>
      </c>
      <c r="J5">
        <v>206</v>
      </c>
      <c r="K5">
        <v>84</v>
      </c>
      <c r="L5" t="s">
        <v>40</v>
      </c>
      <c r="M5">
        <v>71</v>
      </c>
      <c r="N5" t="s">
        <v>9</v>
      </c>
      <c r="O5" t="s">
        <v>15</v>
      </c>
      <c r="P5" t="s">
        <v>13</v>
      </c>
      <c r="Q5">
        <v>170</v>
      </c>
      <c r="R5">
        <v>2018</v>
      </c>
      <c r="S5" t="s">
        <v>22</v>
      </c>
      <c r="T5">
        <v>88603.839999999997</v>
      </c>
      <c r="U5">
        <v>206</v>
      </c>
      <c r="V5" t="s">
        <v>16</v>
      </c>
      <c r="W5" t="s">
        <v>17</v>
      </c>
      <c r="X5">
        <v>21913.38</v>
      </c>
      <c r="Y5">
        <v>950</v>
      </c>
      <c r="Z5">
        <v>350</v>
      </c>
      <c r="AA5">
        <v>7200</v>
      </c>
      <c r="AB5" s="1">
        <v>3.0435249999999998</v>
      </c>
      <c r="AC5" t="s">
        <v>49</v>
      </c>
    </row>
    <row r="6" spans="1:29">
      <c r="A6">
        <v>78</v>
      </c>
      <c r="B6" t="s">
        <v>9</v>
      </c>
      <c r="C6" t="s">
        <v>15</v>
      </c>
      <c r="D6" t="s">
        <v>13</v>
      </c>
      <c r="E6">
        <v>140</v>
      </c>
      <c r="F6">
        <v>2018</v>
      </c>
      <c r="G6" t="s">
        <v>12</v>
      </c>
      <c r="H6">
        <v>99832.95</v>
      </c>
      <c r="I6">
        <v>0</v>
      </c>
      <c r="J6">
        <v>223</v>
      </c>
      <c r="K6">
        <v>466</v>
      </c>
      <c r="L6" t="s">
        <v>40</v>
      </c>
      <c r="M6">
        <v>70</v>
      </c>
      <c r="N6" t="s">
        <v>16</v>
      </c>
      <c r="O6" t="s">
        <v>17</v>
      </c>
      <c r="P6" t="s">
        <v>11</v>
      </c>
      <c r="Q6">
        <v>200</v>
      </c>
      <c r="R6">
        <v>2022</v>
      </c>
      <c r="S6" t="s">
        <v>22</v>
      </c>
      <c r="T6">
        <v>32921.25</v>
      </c>
      <c r="U6">
        <v>223</v>
      </c>
      <c r="V6" t="s">
        <v>16</v>
      </c>
      <c r="W6" t="s">
        <v>10</v>
      </c>
      <c r="X6">
        <v>22600.6</v>
      </c>
      <c r="Y6">
        <v>950</v>
      </c>
      <c r="Z6">
        <v>225</v>
      </c>
      <c r="AA6">
        <v>8700</v>
      </c>
      <c r="AB6" s="1">
        <v>2.5977701149425201</v>
      </c>
      <c r="AC6" t="s">
        <v>49</v>
      </c>
    </row>
    <row r="7" spans="1:29">
      <c r="A7">
        <v>148</v>
      </c>
      <c r="B7" t="s">
        <v>16</v>
      </c>
      <c r="C7" t="s">
        <v>10</v>
      </c>
      <c r="D7" t="s">
        <v>11</v>
      </c>
      <c r="E7">
        <v>145</v>
      </c>
      <c r="F7">
        <v>2019</v>
      </c>
      <c r="G7" t="s">
        <v>22</v>
      </c>
      <c r="H7">
        <v>39775.32</v>
      </c>
      <c r="I7">
        <v>0</v>
      </c>
      <c r="J7">
        <v>81</v>
      </c>
      <c r="K7">
        <v>307</v>
      </c>
      <c r="L7" t="s">
        <v>40</v>
      </c>
      <c r="M7">
        <v>82</v>
      </c>
      <c r="N7" t="s">
        <v>9</v>
      </c>
      <c r="O7" t="s">
        <v>10</v>
      </c>
      <c r="P7" t="s">
        <v>13</v>
      </c>
      <c r="Q7">
        <v>185</v>
      </c>
      <c r="R7">
        <v>2021</v>
      </c>
      <c r="S7" t="s">
        <v>22</v>
      </c>
      <c r="T7">
        <v>114187.2</v>
      </c>
      <c r="U7">
        <v>81</v>
      </c>
      <c r="V7" t="s">
        <v>16</v>
      </c>
      <c r="W7" t="s">
        <v>17</v>
      </c>
      <c r="X7">
        <v>22632.19</v>
      </c>
      <c r="Y7">
        <v>950</v>
      </c>
      <c r="Z7">
        <v>300</v>
      </c>
      <c r="AA7">
        <v>7800</v>
      </c>
      <c r="AB7" s="1">
        <v>2.9015628205128201</v>
      </c>
      <c r="AC7" t="s">
        <v>49</v>
      </c>
    </row>
    <row r="8" spans="1:29">
      <c r="A8">
        <v>360</v>
      </c>
      <c r="B8" t="s">
        <v>16</v>
      </c>
      <c r="C8" t="s">
        <v>17</v>
      </c>
      <c r="D8" t="s">
        <v>11</v>
      </c>
      <c r="E8">
        <v>215</v>
      </c>
      <c r="F8">
        <v>2021</v>
      </c>
      <c r="G8" t="s">
        <v>12</v>
      </c>
      <c r="H8">
        <v>42669.599999999999</v>
      </c>
      <c r="I8">
        <v>0</v>
      </c>
      <c r="J8">
        <v>45</v>
      </c>
      <c r="K8">
        <v>400</v>
      </c>
      <c r="L8" t="s">
        <v>40</v>
      </c>
      <c r="M8">
        <v>85</v>
      </c>
      <c r="N8" t="s">
        <v>9</v>
      </c>
      <c r="O8" t="s">
        <v>17</v>
      </c>
      <c r="P8" t="s">
        <v>11</v>
      </c>
      <c r="Q8">
        <v>230</v>
      </c>
      <c r="R8">
        <v>2021</v>
      </c>
      <c r="S8" t="s">
        <v>14</v>
      </c>
      <c r="T8">
        <v>104485.2</v>
      </c>
      <c r="U8">
        <v>45</v>
      </c>
      <c r="V8" t="s">
        <v>16</v>
      </c>
      <c r="W8" t="s">
        <v>19</v>
      </c>
      <c r="X8">
        <v>22866</v>
      </c>
      <c r="Y8">
        <v>950</v>
      </c>
      <c r="Z8">
        <v>275</v>
      </c>
      <c r="AA8">
        <v>8100</v>
      </c>
      <c r="AB8" s="1">
        <v>2.82296296296296</v>
      </c>
      <c r="AC8" t="s">
        <v>49</v>
      </c>
    </row>
    <row r="9" spans="1:29">
      <c r="A9">
        <v>343</v>
      </c>
      <c r="B9" t="s">
        <v>16</v>
      </c>
      <c r="C9" t="s">
        <v>15</v>
      </c>
      <c r="D9" t="s">
        <v>13</v>
      </c>
      <c r="E9">
        <v>205</v>
      </c>
      <c r="F9">
        <v>2021</v>
      </c>
      <c r="G9" t="s">
        <v>12</v>
      </c>
      <c r="H9">
        <v>33500.400000000001</v>
      </c>
      <c r="I9">
        <v>0</v>
      </c>
      <c r="J9">
        <v>42</v>
      </c>
      <c r="K9">
        <v>43</v>
      </c>
      <c r="L9" t="s">
        <v>40</v>
      </c>
      <c r="M9">
        <v>86</v>
      </c>
      <c r="N9" t="s">
        <v>20</v>
      </c>
      <c r="O9" t="s">
        <v>23</v>
      </c>
      <c r="P9" t="s">
        <v>13</v>
      </c>
      <c r="Q9">
        <v>160</v>
      </c>
      <c r="R9">
        <v>2018</v>
      </c>
      <c r="S9" t="s">
        <v>22</v>
      </c>
      <c r="T9">
        <v>108223.5</v>
      </c>
      <c r="U9">
        <v>42</v>
      </c>
      <c r="V9" t="s">
        <v>16</v>
      </c>
      <c r="W9" t="s">
        <v>17</v>
      </c>
      <c r="X9">
        <v>23124.400000000001</v>
      </c>
      <c r="Y9">
        <v>950</v>
      </c>
      <c r="Z9">
        <v>300</v>
      </c>
      <c r="AA9">
        <v>7800</v>
      </c>
      <c r="AB9" s="1">
        <v>2.9646666666666599</v>
      </c>
      <c r="AC9" t="s">
        <v>49</v>
      </c>
    </row>
    <row r="10" spans="1:29">
      <c r="A10">
        <v>373</v>
      </c>
      <c r="B10" t="s">
        <v>16</v>
      </c>
      <c r="C10" t="s">
        <v>17</v>
      </c>
      <c r="D10" t="s">
        <v>13</v>
      </c>
      <c r="E10">
        <v>165</v>
      </c>
      <c r="F10">
        <v>2021</v>
      </c>
      <c r="G10" t="s">
        <v>22</v>
      </c>
      <c r="H10">
        <v>28458</v>
      </c>
      <c r="I10">
        <v>0</v>
      </c>
      <c r="J10">
        <v>46</v>
      </c>
      <c r="K10">
        <v>284</v>
      </c>
      <c r="L10" t="s">
        <v>40</v>
      </c>
      <c r="M10">
        <v>85</v>
      </c>
      <c r="N10" t="s">
        <v>9</v>
      </c>
      <c r="O10" t="s">
        <v>19</v>
      </c>
      <c r="P10" t="s">
        <v>11</v>
      </c>
      <c r="Q10">
        <v>220</v>
      </c>
      <c r="R10">
        <v>2021</v>
      </c>
      <c r="S10" t="s">
        <v>14</v>
      </c>
      <c r="T10">
        <v>104505.52</v>
      </c>
      <c r="U10">
        <v>46</v>
      </c>
      <c r="V10" t="s">
        <v>16</v>
      </c>
      <c r="W10" t="s">
        <v>17</v>
      </c>
      <c r="X10">
        <v>23549.4</v>
      </c>
      <c r="Y10">
        <v>950</v>
      </c>
      <c r="Z10">
        <v>275</v>
      </c>
      <c r="AA10">
        <v>8100</v>
      </c>
      <c r="AB10" s="1">
        <v>2.9073333333333302</v>
      </c>
      <c r="AC10" t="s">
        <v>49</v>
      </c>
    </row>
    <row r="11" spans="1:29">
      <c r="A11">
        <v>161</v>
      </c>
      <c r="B11" t="s">
        <v>16</v>
      </c>
      <c r="C11" t="s">
        <v>10</v>
      </c>
      <c r="D11" t="s">
        <v>11</v>
      </c>
      <c r="E11">
        <v>160</v>
      </c>
      <c r="F11">
        <v>2019</v>
      </c>
      <c r="G11" t="s">
        <v>22</v>
      </c>
      <c r="H11">
        <v>37293.300000000003</v>
      </c>
      <c r="I11">
        <v>0</v>
      </c>
      <c r="J11">
        <v>234</v>
      </c>
      <c r="K11">
        <v>381</v>
      </c>
      <c r="L11" t="s">
        <v>40</v>
      </c>
      <c r="M11">
        <v>70</v>
      </c>
      <c r="N11" t="s">
        <v>16</v>
      </c>
      <c r="O11" t="s">
        <v>19</v>
      </c>
      <c r="P11" t="s">
        <v>11</v>
      </c>
      <c r="Q11">
        <v>225</v>
      </c>
      <c r="R11">
        <v>2021</v>
      </c>
      <c r="S11" t="s">
        <v>12</v>
      </c>
      <c r="T11">
        <v>46520.4</v>
      </c>
      <c r="U11">
        <v>234</v>
      </c>
      <c r="V11" t="s">
        <v>16</v>
      </c>
      <c r="W11" t="s">
        <v>10</v>
      </c>
      <c r="X11">
        <v>23569.7</v>
      </c>
      <c r="Y11">
        <v>975</v>
      </c>
      <c r="Z11">
        <v>225</v>
      </c>
      <c r="AA11">
        <v>9000</v>
      </c>
      <c r="AB11" s="1">
        <v>2.6188555555555499</v>
      </c>
      <c r="AC11" t="s">
        <v>49</v>
      </c>
    </row>
    <row r="12" spans="1:29">
      <c r="A12">
        <v>491</v>
      </c>
      <c r="B12" t="s">
        <v>16</v>
      </c>
      <c r="C12" t="s">
        <v>19</v>
      </c>
      <c r="D12" t="s">
        <v>13</v>
      </c>
      <c r="E12">
        <v>225</v>
      </c>
      <c r="F12">
        <v>2022</v>
      </c>
      <c r="G12" t="s">
        <v>12</v>
      </c>
      <c r="H12">
        <v>29931.25</v>
      </c>
      <c r="I12">
        <v>0</v>
      </c>
      <c r="J12">
        <v>63</v>
      </c>
      <c r="K12">
        <v>202</v>
      </c>
      <c r="L12" t="s">
        <v>40</v>
      </c>
      <c r="M12">
        <v>84</v>
      </c>
      <c r="N12" t="s">
        <v>9</v>
      </c>
      <c r="O12" t="s">
        <v>23</v>
      </c>
      <c r="P12" t="s">
        <v>11</v>
      </c>
      <c r="Q12">
        <v>175</v>
      </c>
      <c r="R12">
        <v>2019</v>
      </c>
      <c r="S12" t="s">
        <v>12</v>
      </c>
      <c r="T12">
        <v>107986.44</v>
      </c>
      <c r="U12">
        <v>63</v>
      </c>
      <c r="V12" t="s">
        <v>16</v>
      </c>
      <c r="W12" t="s">
        <v>17</v>
      </c>
      <c r="X12">
        <v>23647.52</v>
      </c>
      <c r="Y12">
        <v>975</v>
      </c>
      <c r="Z12">
        <v>350</v>
      </c>
      <c r="AA12">
        <v>7500</v>
      </c>
      <c r="AB12" s="1">
        <v>3.15300266666666</v>
      </c>
      <c r="AC12" t="s">
        <v>49</v>
      </c>
    </row>
    <row r="13" spans="1:29">
      <c r="A13">
        <v>463</v>
      </c>
      <c r="B13" t="s">
        <v>16</v>
      </c>
      <c r="C13" t="s">
        <v>17</v>
      </c>
      <c r="D13" t="s">
        <v>11</v>
      </c>
      <c r="E13">
        <v>180</v>
      </c>
      <c r="F13">
        <v>2022</v>
      </c>
      <c r="G13" t="s">
        <v>18</v>
      </c>
      <c r="H13">
        <v>37098.75</v>
      </c>
      <c r="I13">
        <v>0</v>
      </c>
      <c r="J13">
        <v>214</v>
      </c>
      <c r="K13">
        <v>44</v>
      </c>
      <c r="L13" t="s">
        <v>40</v>
      </c>
      <c r="M13">
        <v>71</v>
      </c>
      <c r="N13" t="s">
        <v>9</v>
      </c>
      <c r="O13" t="s">
        <v>17</v>
      </c>
      <c r="P13" t="s">
        <v>13</v>
      </c>
      <c r="Q13">
        <v>185</v>
      </c>
      <c r="R13">
        <v>2018</v>
      </c>
      <c r="S13" t="s">
        <v>14</v>
      </c>
      <c r="T13">
        <v>110680.5</v>
      </c>
      <c r="U13">
        <v>214</v>
      </c>
      <c r="V13" t="s">
        <v>16</v>
      </c>
      <c r="W13" t="s">
        <v>23</v>
      </c>
      <c r="X13">
        <v>23819.4</v>
      </c>
      <c r="Y13">
        <v>975</v>
      </c>
      <c r="Z13">
        <v>350</v>
      </c>
      <c r="AA13">
        <v>7500</v>
      </c>
      <c r="AB13">
        <v>3.1759200000000001</v>
      </c>
      <c r="AC13" t="s">
        <v>49</v>
      </c>
    </row>
    <row r="14" spans="1:29">
      <c r="A14">
        <v>124</v>
      </c>
      <c r="B14" t="s">
        <v>9</v>
      </c>
      <c r="C14" t="s">
        <v>23</v>
      </c>
      <c r="D14" t="s">
        <v>11</v>
      </c>
      <c r="E14">
        <v>145</v>
      </c>
      <c r="F14">
        <v>2019</v>
      </c>
      <c r="G14" t="s">
        <v>12</v>
      </c>
      <c r="H14">
        <v>100567.5</v>
      </c>
      <c r="I14">
        <v>0</v>
      </c>
      <c r="J14">
        <v>278</v>
      </c>
      <c r="K14">
        <v>306</v>
      </c>
      <c r="L14" t="s">
        <v>40</v>
      </c>
      <c r="M14">
        <v>67</v>
      </c>
      <c r="N14" t="s">
        <v>16</v>
      </c>
      <c r="O14" t="s">
        <v>15</v>
      </c>
      <c r="P14" t="s">
        <v>11</v>
      </c>
      <c r="Q14">
        <v>175</v>
      </c>
      <c r="R14">
        <v>2021</v>
      </c>
      <c r="S14" t="s">
        <v>18</v>
      </c>
      <c r="T14">
        <v>40851.599999999999</v>
      </c>
      <c r="U14">
        <v>278</v>
      </c>
      <c r="V14" t="s">
        <v>16</v>
      </c>
      <c r="W14" t="s">
        <v>15</v>
      </c>
      <c r="X14">
        <v>23819.48</v>
      </c>
      <c r="Y14">
        <v>825</v>
      </c>
      <c r="Z14">
        <v>325</v>
      </c>
      <c r="AA14">
        <v>6000</v>
      </c>
      <c r="AB14" s="1">
        <v>3.9699133333333299</v>
      </c>
      <c r="AC14" t="s">
        <v>49</v>
      </c>
    </row>
    <row r="15" spans="1:29">
      <c r="A15">
        <v>132</v>
      </c>
      <c r="B15" t="s">
        <v>16</v>
      </c>
      <c r="C15" t="s">
        <v>19</v>
      </c>
      <c r="D15" t="s">
        <v>11</v>
      </c>
      <c r="E15">
        <v>115</v>
      </c>
      <c r="F15">
        <v>2019</v>
      </c>
      <c r="G15" t="s">
        <v>14</v>
      </c>
      <c r="H15">
        <v>31024.080000000002</v>
      </c>
      <c r="I15">
        <v>0</v>
      </c>
      <c r="J15">
        <v>16</v>
      </c>
      <c r="K15">
        <v>496</v>
      </c>
      <c r="L15" t="s">
        <v>40</v>
      </c>
      <c r="M15">
        <v>90</v>
      </c>
      <c r="N15" t="s">
        <v>9</v>
      </c>
      <c r="O15" t="s">
        <v>23</v>
      </c>
      <c r="P15" t="s">
        <v>11</v>
      </c>
      <c r="Q15">
        <v>225</v>
      </c>
      <c r="R15">
        <v>2022</v>
      </c>
      <c r="S15" t="s">
        <v>14</v>
      </c>
      <c r="T15">
        <v>105875</v>
      </c>
      <c r="U15">
        <v>16</v>
      </c>
      <c r="V15" t="s">
        <v>16</v>
      </c>
      <c r="W15" t="s">
        <v>17</v>
      </c>
      <c r="X15">
        <v>23964</v>
      </c>
      <c r="Y15">
        <v>950</v>
      </c>
      <c r="Z15">
        <v>325</v>
      </c>
      <c r="AA15">
        <v>7500</v>
      </c>
      <c r="AB15">
        <v>3.1951999999999998</v>
      </c>
      <c r="AC15" t="s">
        <v>49</v>
      </c>
    </row>
    <row r="16" spans="1:29">
      <c r="A16">
        <v>282</v>
      </c>
      <c r="B16" t="s">
        <v>9</v>
      </c>
      <c r="C16" t="s">
        <v>17</v>
      </c>
      <c r="D16" t="s">
        <v>13</v>
      </c>
      <c r="E16">
        <v>215</v>
      </c>
      <c r="F16">
        <v>2021</v>
      </c>
      <c r="G16" t="s">
        <v>14</v>
      </c>
      <c r="H16">
        <v>114954.42</v>
      </c>
      <c r="I16">
        <v>0</v>
      </c>
      <c r="J16">
        <v>34</v>
      </c>
      <c r="K16">
        <v>475</v>
      </c>
      <c r="L16" t="s">
        <v>40</v>
      </c>
      <c r="M16">
        <v>87</v>
      </c>
      <c r="N16" t="s">
        <v>9</v>
      </c>
      <c r="O16" t="s">
        <v>10</v>
      </c>
      <c r="P16" t="s">
        <v>11</v>
      </c>
      <c r="Q16">
        <v>170</v>
      </c>
      <c r="R16">
        <v>2022</v>
      </c>
      <c r="S16" t="s">
        <v>18</v>
      </c>
      <c r="T16">
        <v>101576.25</v>
      </c>
      <c r="U16">
        <v>34</v>
      </c>
      <c r="V16" t="s">
        <v>16</v>
      </c>
      <c r="W16" t="s">
        <v>23</v>
      </c>
      <c r="X16">
        <v>24112</v>
      </c>
      <c r="Y16">
        <v>975</v>
      </c>
      <c r="Z16">
        <v>300</v>
      </c>
      <c r="AA16">
        <v>8100</v>
      </c>
      <c r="AB16">
        <v>2.9767901234567899</v>
      </c>
      <c r="AC16" t="s">
        <v>49</v>
      </c>
    </row>
    <row r="17" spans="1:29">
      <c r="A17">
        <v>446</v>
      </c>
      <c r="B17" t="s">
        <v>9</v>
      </c>
      <c r="C17" t="s">
        <v>19</v>
      </c>
      <c r="D17" t="s">
        <v>11</v>
      </c>
      <c r="E17">
        <v>145</v>
      </c>
      <c r="F17">
        <v>2022</v>
      </c>
      <c r="G17" t="s">
        <v>14</v>
      </c>
      <c r="H17">
        <v>101815.71</v>
      </c>
      <c r="I17">
        <v>0</v>
      </c>
      <c r="J17">
        <v>163</v>
      </c>
      <c r="K17">
        <v>309</v>
      </c>
      <c r="L17" t="s">
        <v>40</v>
      </c>
      <c r="M17">
        <v>75</v>
      </c>
      <c r="N17" t="s">
        <v>16</v>
      </c>
      <c r="O17" t="s">
        <v>23</v>
      </c>
      <c r="P17" t="s">
        <v>11</v>
      </c>
      <c r="Q17">
        <v>205</v>
      </c>
      <c r="R17">
        <v>2021</v>
      </c>
      <c r="S17" t="s">
        <v>12</v>
      </c>
      <c r="T17">
        <v>41137.199999999997</v>
      </c>
      <c r="U17">
        <v>163</v>
      </c>
      <c r="V17" t="s">
        <v>16</v>
      </c>
      <c r="W17" t="s">
        <v>23</v>
      </c>
      <c r="X17">
        <v>24388.48</v>
      </c>
      <c r="Y17">
        <v>825</v>
      </c>
      <c r="Z17">
        <v>150</v>
      </c>
      <c r="AA17">
        <v>8100</v>
      </c>
      <c r="AB17" s="1">
        <v>3.01092345679012</v>
      </c>
      <c r="AC17" t="s">
        <v>49</v>
      </c>
    </row>
    <row r="18" spans="1:29">
      <c r="A18">
        <v>208</v>
      </c>
      <c r="B18" t="s">
        <v>16</v>
      </c>
      <c r="C18" t="s">
        <v>23</v>
      </c>
      <c r="D18" t="s">
        <v>13</v>
      </c>
      <c r="E18">
        <v>215</v>
      </c>
      <c r="F18">
        <v>2019</v>
      </c>
      <c r="G18" t="s">
        <v>18</v>
      </c>
      <c r="H18">
        <v>26345.52</v>
      </c>
      <c r="I18">
        <v>0</v>
      </c>
      <c r="J18">
        <v>25</v>
      </c>
      <c r="K18">
        <v>67</v>
      </c>
      <c r="L18" t="s">
        <v>40</v>
      </c>
      <c r="M18">
        <v>89</v>
      </c>
      <c r="N18" t="s">
        <v>20</v>
      </c>
      <c r="O18" t="s">
        <v>15</v>
      </c>
      <c r="P18" t="s">
        <v>11</v>
      </c>
      <c r="Q18">
        <v>225</v>
      </c>
      <c r="R18">
        <v>2018</v>
      </c>
      <c r="S18" t="s">
        <v>14</v>
      </c>
      <c r="T18">
        <v>98328.88</v>
      </c>
      <c r="U18">
        <v>25</v>
      </c>
      <c r="V18" t="s">
        <v>16</v>
      </c>
      <c r="W18" t="s">
        <v>23</v>
      </c>
      <c r="X18">
        <v>24532</v>
      </c>
      <c r="Y18">
        <v>875</v>
      </c>
      <c r="Z18">
        <v>200</v>
      </c>
      <c r="AA18">
        <v>8100</v>
      </c>
      <c r="AB18" s="1">
        <v>3.02864197530864</v>
      </c>
      <c r="AC18" t="s">
        <v>49</v>
      </c>
    </row>
    <row r="19" spans="1:29">
      <c r="A19">
        <v>159</v>
      </c>
      <c r="B19" t="s">
        <v>16</v>
      </c>
      <c r="C19" t="s">
        <v>17</v>
      </c>
      <c r="D19" t="s">
        <v>13</v>
      </c>
      <c r="E19">
        <v>140</v>
      </c>
      <c r="F19">
        <v>2019</v>
      </c>
      <c r="G19" t="s">
        <v>18</v>
      </c>
      <c r="H19" s="1" t="s">
        <v>26</v>
      </c>
      <c r="I19">
        <v>0</v>
      </c>
      <c r="J19">
        <v>83</v>
      </c>
      <c r="K19">
        <v>268</v>
      </c>
      <c r="L19" t="s">
        <v>40</v>
      </c>
      <c r="M19">
        <v>82</v>
      </c>
      <c r="N19" t="s">
        <v>9</v>
      </c>
      <c r="O19" t="s">
        <v>17</v>
      </c>
      <c r="P19" t="s">
        <v>11</v>
      </c>
      <c r="Q19">
        <v>225</v>
      </c>
      <c r="R19">
        <v>2020</v>
      </c>
      <c r="S19" t="s">
        <v>14</v>
      </c>
      <c r="T19">
        <v>115236.25</v>
      </c>
      <c r="U19">
        <v>83</v>
      </c>
      <c r="V19" t="s">
        <v>16</v>
      </c>
      <c r="W19" t="s">
        <v>23</v>
      </c>
      <c r="X19">
        <v>24696.31</v>
      </c>
      <c r="Y19">
        <v>825</v>
      </c>
      <c r="Z19">
        <v>225</v>
      </c>
      <c r="AA19">
        <v>7200</v>
      </c>
      <c r="AB19" s="1">
        <v>3.4300430555555499</v>
      </c>
      <c r="AC19" t="s">
        <v>49</v>
      </c>
    </row>
    <row r="20" spans="1:29">
      <c r="A20">
        <v>268</v>
      </c>
      <c r="B20" t="s">
        <v>9</v>
      </c>
      <c r="C20" t="s">
        <v>17</v>
      </c>
      <c r="D20" t="s">
        <v>11</v>
      </c>
      <c r="E20">
        <v>225</v>
      </c>
      <c r="F20">
        <v>2020</v>
      </c>
      <c r="G20" t="s">
        <v>14</v>
      </c>
      <c r="H20">
        <v>115236.25</v>
      </c>
      <c r="I20">
        <v>0</v>
      </c>
      <c r="J20">
        <v>404</v>
      </c>
      <c r="K20">
        <v>267</v>
      </c>
      <c r="L20" t="s">
        <v>41</v>
      </c>
      <c r="M20">
        <v>56</v>
      </c>
      <c r="N20" t="s">
        <v>16</v>
      </c>
      <c r="O20" t="s">
        <v>19</v>
      </c>
      <c r="P20" t="s">
        <v>11</v>
      </c>
      <c r="Q20">
        <v>110</v>
      </c>
      <c r="R20">
        <v>2020</v>
      </c>
      <c r="S20" t="s">
        <v>22</v>
      </c>
      <c r="T20">
        <v>38785</v>
      </c>
      <c r="U20">
        <v>404</v>
      </c>
      <c r="V20" t="s">
        <v>16</v>
      </c>
      <c r="W20" t="s">
        <v>19</v>
      </c>
      <c r="X20">
        <v>24715.200000000001</v>
      </c>
      <c r="Y20">
        <v>975</v>
      </c>
      <c r="Z20">
        <v>350</v>
      </c>
      <c r="AA20">
        <v>7500</v>
      </c>
      <c r="AB20">
        <v>3.2953600000000001</v>
      </c>
      <c r="AC20" t="s">
        <v>49</v>
      </c>
    </row>
    <row r="21" spans="1:29">
      <c r="A21">
        <v>276</v>
      </c>
      <c r="B21" t="s">
        <v>9</v>
      </c>
      <c r="C21" t="s">
        <v>15</v>
      </c>
      <c r="D21" t="s">
        <v>11</v>
      </c>
      <c r="E21">
        <v>195</v>
      </c>
      <c r="F21">
        <v>2020</v>
      </c>
      <c r="G21" t="s">
        <v>18</v>
      </c>
      <c r="H21">
        <v>122871.25</v>
      </c>
      <c r="I21">
        <v>0</v>
      </c>
      <c r="J21">
        <v>32</v>
      </c>
      <c r="K21">
        <v>75</v>
      </c>
      <c r="L21" t="s">
        <v>40</v>
      </c>
      <c r="M21">
        <v>87</v>
      </c>
      <c r="N21" t="s">
        <v>20</v>
      </c>
      <c r="O21" t="s">
        <v>10</v>
      </c>
      <c r="P21" t="s">
        <v>11</v>
      </c>
      <c r="Q21">
        <v>130</v>
      </c>
      <c r="R21">
        <v>2018</v>
      </c>
      <c r="S21" t="s">
        <v>12</v>
      </c>
      <c r="T21">
        <v>95874.46</v>
      </c>
      <c r="U21">
        <v>32</v>
      </c>
      <c r="V21" t="s">
        <v>16</v>
      </c>
      <c r="W21" t="s">
        <v>15</v>
      </c>
      <c r="X21">
        <v>24868</v>
      </c>
      <c r="Y21">
        <v>950</v>
      </c>
      <c r="Z21">
        <v>325</v>
      </c>
      <c r="AA21">
        <v>7500</v>
      </c>
      <c r="AB21" s="1">
        <v>3.3157333333333301</v>
      </c>
      <c r="AC21" t="s">
        <v>49</v>
      </c>
    </row>
    <row r="22" spans="1:29">
      <c r="A22">
        <v>448</v>
      </c>
      <c r="B22" t="s">
        <v>16</v>
      </c>
      <c r="C22" t="s">
        <v>23</v>
      </c>
      <c r="D22" t="s">
        <v>11</v>
      </c>
      <c r="E22">
        <v>140</v>
      </c>
      <c r="F22">
        <v>2022</v>
      </c>
      <c r="G22" t="s">
        <v>22</v>
      </c>
      <c r="H22">
        <v>48842.07</v>
      </c>
      <c r="I22">
        <v>0</v>
      </c>
      <c r="J22">
        <v>213</v>
      </c>
      <c r="K22">
        <v>111</v>
      </c>
      <c r="L22" t="s">
        <v>40</v>
      </c>
      <c r="M22">
        <v>71</v>
      </c>
      <c r="N22" t="s">
        <v>9</v>
      </c>
      <c r="O22" t="s">
        <v>19</v>
      </c>
      <c r="P22" t="s">
        <v>13</v>
      </c>
      <c r="Q22">
        <v>190</v>
      </c>
      <c r="R22">
        <v>2018</v>
      </c>
      <c r="S22" t="s">
        <v>18</v>
      </c>
      <c r="T22">
        <v>108838.8</v>
      </c>
      <c r="U22">
        <v>213</v>
      </c>
      <c r="V22" t="s">
        <v>16</v>
      </c>
      <c r="W22" t="s">
        <v>19</v>
      </c>
      <c r="X22">
        <v>25100.9</v>
      </c>
      <c r="Y22">
        <v>975</v>
      </c>
      <c r="Z22">
        <v>275</v>
      </c>
      <c r="AA22">
        <v>8400</v>
      </c>
      <c r="AB22" s="1">
        <v>2.9882023809523801</v>
      </c>
      <c r="AC22" t="s">
        <v>49</v>
      </c>
    </row>
    <row r="23" spans="1:29">
      <c r="A23">
        <v>223</v>
      </c>
      <c r="B23" t="s">
        <v>16</v>
      </c>
      <c r="C23" t="s">
        <v>10</v>
      </c>
      <c r="D23" t="s">
        <v>13</v>
      </c>
      <c r="E23">
        <v>170</v>
      </c>
      <c r="F23">
        <v>2019</v>
      </c>
      <c r="G23" t="s">
        <v>14</v>
      </c>
      <c r="H23">
        <v>22600.6</v>
      </c>
      <c r="I23">
        <v>0</v>
      </c>
      <c r="J23">
        <v>399</v>
      </c>
      <c r="K23">
        <v>128</v>
      </c>
      <c r="L23" t="s">
        <v>41</v>
      </c>
      <c r="M23">
        <v>56</v>
      </c>
      <c r="N23" t="s">
        <v>16</v>
      </c>
      <c r="O23" t="s">
        <v>15</v>
      </c>
      <c r="P23" t="s">
        <v>11</v>
      </c>
      <c r="Q23">
        <v>115</v>
      </c>
      <c r="R23">
        <v>2019</v>
      </c>
      <c r="S23" t="s">
        <v>18</v>
      </c>
      <c r="T23" s="1">
        <v>36090.879999999997</v>
      </c>
      <c r="U23">
        <v>399</v>
      </c>
      <c r="V23" t="s">
        <v>16</v>
      </c>
      <c r="W23" t="s">
        <v>23</v>
      </c>
      <c r="X23">
        <v>25496.400000000001</v>
      </c>
      <c r="Y23">
        <v>950</v>
      </c>
      <c r="Z23">
        <v>200</v>
      </c>
      <c r="AA23">
        <v>9000</v>
      </c>
      <c r="AB23" s="1">
        <v>2.83293333333333</v>
      </c>
      <c r="AC23" t="s">
        <v>49</v>
      </c>
    </row>
    <row r="24" spans="1:29">
      <c r="A24">
        <v>73</v>
      </c>
      <c r="B24" t="s">
        <v>9</v>
      </c>
      <c r="C24" t="s">
        <v>15</v>
      </c>
      <c r="D24" t="s">
        <v>13</v>
      </c>
      <c r="E24">
        <v>140</v>
      </c>
      <c r="F24">
        <v>2018</v>
      </c>
      <c r="G24" t="s">
        <v>14</v>
      </c>
      <c r="H24">
        <v>84035.7</v>
      </c>
      <c r="I24">
        <v>0</v>
      </c>
      <c r="J24">
        <v>6</v>
      </c>
      <c r="K24">
        <v>130</v>
      </c>
      <c r="L24" t="s">
        <v>40</v>
      </c>
      <c r="M24">
        <v>92</v>
      </c>
      <c r="N24" t="s">
        <v>20</v>
      </c>
      <c r="O24" t="s">
        <v>19</v>
      </c>
      <c r="P24" t="s">
        <v>11</v>
      </c>
      <c r="Q24">
        <v>220</v>
      </c>
      <c r="R24">
        <v>2019</v>
      </c>
      <c r="S24" t="s">
        <v>22</v>
      </c>
      <c r="T24">
        <v>95341.7</v>
      </c>
      <c r="U24">
        <v>6</v>
      </c>
      <c r="V24" t="s">
        <v>16</v>
      </c>
      <c r="W24" t="s">
        <v>10</v>
      </c>
      <c r="X24">
        <v>25682</v>
      </c>
      <c r="Y24">
        <v>875</v>
      </c>
      <c r="AA24">
        <v>10500</v>
      </c>
      <c r="AB24" s="1">
        <v>2.4459047619047598</v>
      </c>
      <c r="AC24" t="s">
        <v>49</v>
      </c>
    </row>
    <row r="25" spans="1:29">
      <c r="A25">
        <v>379</v>
      </c>
      <c r="B25" t="s">
        <v>9</v>
      </c>
      <c r="C25" t="s">
        <v>15</v>
      </c>
      <c r="D25" t="s">
        <v>11</v>
      </c>
      <c r="E25">
        <v>100</v>
      </c>
      <c r="F25">
        <v>2021</v>
      </c>
      <c r="G25" t="s">
        <v>14</v>
      </c>
      <c r="H25">
        <v>104562</v>
      </c>
      <c r="I25">
        <v>0</v>
      </c>
      <c r="J25">
        <v>357</v>
      </c>
      <c r="K25">
        <v>105</v>
      </c>
      <c r="L25" t="s">
        <v>41</v>
      </c>
      <c r="M25">
        <v>61</v>
      </c>
      <c r="N25" t="s">
        <v>16</v>
      </c>
      <c r="O25" t="s">
        <v>17</v>
      </c>
      <c r="P25" t="s">
        <v>11</v>
      </c>
      <c r="Q25">
        <v>160</v>
      </c>
      <c r="R25">
        <v>2018</v>
      </c>
      <c r="S25" t="s">
        <v>18</v>
      </c>
      <c r="T25">
        <v>33072.9</v>
      </c>
      <c r="U25">
        <v>357</v>
      </c>
      <c r="V25" t="s">
        <v>16</v>
      </c>
      <c r="W25" t="s">
        <v>10</v>
      </c>
      <c r="X25">
        <v>25762.799999999999</v>
      </c>
      <c r="Y25">
        <v>950</v>
      </c>
      <c r="Z25">
        <v>250</v>
      </c>
      <c r="AA25">
        <v>8400</v>
      </c>
      <c r="AB25" s="1">
        <v>3.06699999999999</v>
      </c>
      <c r="AC25" t="s">
        <v>49</v>
      </c>
    </row>
    <row r="26" spans="1:29">
      <c r="A26">
        <v>246</v>
      </c>
      <c r="B26" t="s">
        <v>16</v>
      </c>
      <c r="C26" t="s">
        <v>17</v>
      </c>
      <c r="D26" t="s">
        <v>11</v>
      </c>
      <c r="E26">
        <v>200</v>
      </c>
      <c r="F26">
        <v>2019</v>
      </c>
      <c r="G26" t="s">
        <v>22</v>
      </c>
      <c r="H26" s="1">
        <v>37101.06</v>
      </c>
      <c r="I26">
        <v>0</v>
      </c>
      <c r="J26">
        <v>288</v>
      </c>
      <c r="K26">
        <v>65</v>
      </c>
      <c r="L26" t="s">
        <v>40</v>
      </c>
      <c r="M26">
        <v>67</v>
      </c>
      <c r="N26" t="s">
        <v>9</v>
      </c>
      <c r="O26" t="s">
        <v>17</v>
      </c>
      <c r="P26" t="s">
        <v>13</v>
      </c>
      <c r="Q26">
        <v>155</v>
      </c>
      <c r="R26">
        <v>2018</v>
      </c>
      <c r="S26" t="s">
        <v>14</v>
      </c>
      <c r="T26">
        <v>107742.12</v>
      </c>
      <c r="U26">
        <v>288</v>
      </c>
      <c r="V26" t="s">
        <v>16</v>
      </c>
      <c r="W26" t="s">
        <v>17</v>
      </c>
      <c r="X26">
        <v>25816.799999999999</v>
      </c>
      <c r="Y26">
        <v>950</v>
      </c>
      <c r="Z26">
        <v>325</v>
      </c>
      <c r="AA26">
        <v>7500</v>
      </c>
      <c r="AB26">
        <v>3.44224</v>
      </c>
      <c r="AC26" t="s">
        <v>49</v>
      </c>
    </row>
    <row r="27" spans="1:29">
      <c r="A27">
        <v>471</v>
      </c>
      <c r="B27" t="s">
        <v>9</v>
      </c>
      <c r="C27" t="s">
        <v>19</v>
      </c>
      <c r="D27" t="s">
        <v>11</v>
      </c>
      <c r="E27">
        <v>185</v>
      </c>
      <c r="F27">
        <v>2022</v>
      </c>
      <c r="G27" t="s">
        <v>18</v>
      </c>
      <c r="H27">
        <v>133112.5</v>
      </c>
      <c r="I27">
        <v>0</v>
      </c>
      <c r="J27">
        <v>60</v>
      </c>
      <c r="K27">
        <v>390</v>
      </c>
      <c r="L27" t="s">
        <v>40</v>
      </c>
      <c r="M27">
        <v>85</v>
      </c>
      <c r="N27" t="s">
        <v>9</v>
      </c>
      <c r="O27" t="s">
        <v>15</v>
      </c>
      <c r="P27" t="s">
        <v>11</v>
      </c>
      <c r="Q27">
        <v>205</v>
      </c>
      <c r="R27">
        <v>2021</v>
      </c>
      <c r="S27" t="s">
        <v>12</v>
      </c>
      <c r="T27">
        <v>130543.2</v>
      </c>
      <c r="U27">
        <v>60</v>
      </c>
      <c r="V27" t="s">
        <v>16</v>
      </c>
      <c r="W27" t="s">
        <v>17</v>
      </c>
      <c r="X27">
        <v>26023.919999999998</v>
      </c>
      <c r="Y27">
        <v>975</v>
      </c>
      <c r="Z27">
        <v>200</v>
      </c>
      <c r="AA27">
        <v>9300</v>
      </c>
      <c r="AB27" s="1">
        <v>2.7982709677419302</v>
      </c>
      <c r="AC27" t="s">
        <v>49</v>
      </c>
    </row>
    <row r="28" spans="1:29">
      <c r="A28">
        <v>248</v>
      </c>
      <c r="B28" t="s">
        <v>16</v>
      </c>
      <c r="C28" t="s">
        <v>19</v>
      </c>
      <c r="D28" t="s">
        <v>13</v>
      </c>
      <c r="E28">
        <v>160</v>
      </c>
      <c r="F28">
        <v>2019</v>
      </c>
      <c r="G28" t="s">
        <v>22</v>
      </c>
      <c r="H28">
        <v>38049.480000000003</v>
      </c>
      <c r="I28">
        <v>0</v>
      </c>
      <c r="J28">
        <v>401</v>
      </c>
      <c r="K28">
        <v>121</v>
      </c>
      <c r="L28" t="s">
        <v>41</v>
      </c>
      <c r="M28">
        <v>56</v>
      </c>
      <c r="N28" t="s">
        <v>16</v>
      </c>
      <c r="O28" t="s">
        <v>17</v>
      </c>
      <c r="P28" t="s">
        <v>11</v>
      </c>
      <c r="Q28">
        <v>115</v>
      </c>
      <c r="R28">
        <v>2019</v>
      </c>
      <c r="S28" t="s">
        <v>18</v>
      </c>
      <c r="T28">
        <v>37370.300000000003</v>
      </c>
      <c r="U28">
        <v>401</v>
      </c>
      <c r="V28" t="s">
        <v>16</v>
      </c>
      <c r="W28" t="s">
        <v>19</v>
      </c>
      <c r="X28">
        <v>26030.400000000001</v>
      </c>
      <c r="Y28">
        <v>825</v>
      </c>
      <c r="Z28">
        <v>350</v>
      </c>
      <c r="AA28">
        <v>5700</v>
      </c>
      <c r="AB28" s="1">
        <v>4.5667368421052599</v>
      </c>
      <c r="AC28" t="s">
        <v>49</v>
      </c>
    </row>
    <row r="29" spans="1:29">
      <c r="A29">
        <v>242</v>
      </c>
      <c r="B29" t="s">
        <v>20</v>
      </c>
      <c r="C29" t="s">
        <v>15</v>
      </c>
      <c r="D29" t="s">
        <v>21</v>
      </c>
      <c r="E29">
        <v>160</v>
      </c>
      <c r="F29">
        <v>2019</v>
      </c>
      <c r="G29" t="s">
        <v>22</v>
      </c>
      <c r="H29">
        <v>100640.64</v>
      </c>
      <c r="I29">
        <v>0</v>
      </c>
      <c r="J29">
        <v>92</v>
      </c>
      <c r="K29">
        <v>239</v>
      </c>
      <c r="L29" t="s">
        <v>40</v>
      </c>
      <c r="M29">
        <v>81</v>
      </c>
      <c r="N29" t="s">
        <v>20</v>
      </c>
      <c r="O29" t="s">
        <v>15</v>
      </c>
      <c r="P29" t="s">
        <v>11</v>
      </c>
      <c r="Q29">
        <v>110</v>
      </c>
      <c r="R29">
        <v>2019</v>
      </c>
      <c r="S29" t="s">
        <v>18</v>
      </c>
      <c r="T29">
        <v>90693</v>
      </c>
      <c r="U29">
        <v>92</v>
      </c>
      <c r="V29" t="s">
        <v>16</v>
      </c>
      <c r="W29" t="s">
        <v>10</v>
      </c>
      <c r="X29">
        <v>26047.67</v>
      </c>
      <c r="Y29">
        <v>975</v>
      </c>
      <c r="Z29">
        <v>325</v>
      </c>
      <c r="AA29">
        <v>7800</v>
      </c>
      <c r="AB29" s="1">
        <v>3.3394448717948699</v>
      </c>
      <c r="AC29" t="s">
        <v>49</v>
      </c>
    </row>
    <row r="30" spans="1:29">
      <c r="B30" t="s">
        <v>108</v>
      </c>
      <c r="C30" t="s">
        <v>108</v>
      </c>
      <c r="L30" t="s">
        <v>107</v>
      </c>
      <c r="U30">
        <v>465</v>
      </c>
      <c r="V30" t="s">
        <v>16</v>
      </c>
      <c r="W30" t="s">
        <v>19</v>
      </c>
      <c r="X30">
        <v>26068.75</v>
      </c>
      <c r="Y30">
        <v>950</v>
      </c>
      <c r="Z30">
        <v>250</v>
      </c>
      <c r="AA30">
        <v>8400</v>
      </c>
      <c r="AB30" s="1">
        <v>3.1034226190476102</v>
      </c>
      <c r="AC30" t="s">
        <v>49</v>
      </c>
    </row>
    <row r="31" spans="1:29">
      <c r="A31">
        <v>307</v>
      </c>
      <c r="B31" t="s">
        <v>9</v>
      </c>
      <c r="C31" t="s">
        <v>10</v>
      </c>
      <c r="D31" t="s">
        <v>13</v>
      </c>
      <c r="E31">
        <v>185</v>
      </c>
      <c r="F31">
        <v>2021</v>
      </c>
      <c r="G31" t="s">
        <v>22</v>
      </c>
      <c r="H31">
        <v>114187.2</v>
      </c>
      <c r="I31">
        <v>0</v>
      </c>
      <c r="J31">
        <v>150</v>
      </c>
      <c r="K31">
        <v>116</v>
      </c>
      <c r="L31" t="s">
        <v>40</v>
      </c>
      <c r="M31">
        <v>76</v>
      </c>
      <c r="N31" t="s">
        <v>9</v>
      </c>
      <c r="O31" t="s">
        <v>15</v>
      </c>
      <c r="P31" t="s">
        <v>11</v>
      </c>
      <c r="Q31">
        <v>160</v>
      </c>
      <c r="R31">
        <v>2018</v>
      </c>
      <c r="S31" t="s">
        <v>14</v>
      </c>
      <c r="T31">
        <v>89028.160000000003</v>
      </c>
      <c r="U31">
        <v>150</v>
      </c>
      <c r="V31" t="s">
        <v>16</v>
      </c>
      <c r="W31" t="s">
        <v>17</v>
      </c>
      <c r="X31">
        <v>26139.24</v>
      </c>
      <c r="Y31">
        <v>950</v>
      </c>
      <c r="Z31">
        <v>350</v>
      </c>
      <c r="AA31">
        <v>7200</v>
      </c>
      <c r="AB31">
        <v>3.6304500000000002</v>
      </c>
      <c r="AC31" t="s">
        <v>49</v>
      </c>
    </row>
    <row r="32" spans="1:29">
      <c r="A32">
        <v>390</v>
      </c>
      <c r="B32" t="s">
        <v>9</v>
      </c>
      <c r="C32" t="s">
        <v>15</v>
      </c>
      <c r="D32" t="s">
        <v>11</v>
      </c>
      <c r="E32">
        <v>205</v>
      </c>
      <c r="F32">
        <v>2021</v>
      </c>
      <c r="G32" t="s">
        <v>12</v>
      </c>
      <c r="H32">
        <v>130543.2</v>
      </c>
      <c r="I32">
        <v>0</v>
      </c>
      <c r="J32">
        <v>208</v>
      </c>
      <c r="K32">
        <v>138</v>
      </c>
      <c r="L32" t="s">
        <v>40</v>
      </c>
      <c r="M32">
        <v>71</v>
      </c>
      <c r="N32" t="s">
        <v>9</v>
      </c>
      <c r="O32" t="s">
        <v>23</v>
      </c>
      <c r="P32" t="s">
        <v>13</v>
      </c>
      <c r="Q32">
        <v>115</v>
      </c>
      <c r="R32">
        <v>2019</v>
      </c>
      <c r="S32" t="s">
        <v>14</v>
      </c>
      <c r="T32">
        <v>92045.16</v>
      </c>
      <c r="U32">
        <v>208</v>
      </c>
      <c r="V32" t="s">
        <v>16</v>
      </c>
      <c r="W32" t="s">
        <v>23</v>
      </c>
      <c r="X32">
        <v>26345.52</v>
      </c>
      <c r="Y32">
        <v>825</v>
      </c>
      <c r="Z32">
        <v>175</v>
      </c>
      <c r="AA32">
        <v>7800</v>
      </c>
      <c r="AB32" s="1">
        <v>3.3776307692307599</v>
      </c>
      <c r="AC32" t="s">
        <v>49</v>
      </c>
    </row>
    <row r="33" spans="1:29">
      <c r="A33">
        <v>202</v>
      </c>
      <c r="B33" t="s">
        <v>9</v>
      </c>
      <c r="C33" t="s">
        <v>23</v>
      </c>
      <c r="D33" t="s">
        <v>11</v>
      </c>
      <c r="E33">
        <v>175</v>
      </c>
      <c r="F33">
        <v>2019</v>
      </c>
      <c r="G33" t="s">
        <v>12</v>
      </c>
      <c r="H33">
        <v>107986.44</v>
      </c>
      <c r="I33">
        <v>0</v>
      </c>
      <c r="J33">
        <v>87</v>
      </c>
      <c r="K33">
        <v>435</v>
      </c>
      <c r="L33" t="s">
        <v>40</v>
      </c>
      <c r="M33">
        <v>82</v>
      </c>
      <c r="N33" t="s">
        <v>9</v>
      </c>
      <c r="O33" t="s">
        <v>17</v>
      </c>
      <c r="P33" t="s">
        <v>11</v>
      </c>
      <c r="Q33">
        <v>160</v>
      </c>
      <c r="R33">
        <v>2022</v>
      </c>
      <c r="S33" t="s">
        <v>22</v>
      </c>
      <c r="T33">
        <v>121287.84</v>
      </c>
      <c r="U33">
        <v>87</v>
      </c>
      <c r="V33" t="s">
        <v>16</v>
      </c>
      <c r="W33" t="s">
        <v>10</v>
      </c>
      <c r="X33">
        <v>26408.17</v>
      </c>
      <c r="Y33">
        <v>975</v>
      </c>
      <c r="Z33">
        <v>350</v>
      </c>
      <c r="AA33">
        <v>7500</v>
      </c>
      <c r="AB33" s="1">
        <v>3.5210893333333302</v>
      </c>
      <c r="AC33" t="s">
        <v>49</v>
      </c>
    </row>
    <row r="34" spans="1:29">
      <c r="A34">
        <v>402</v>
      </c>
      <c r="B34" t="s">
        <v>16</v>
      </c>
      <c r="C34" t="s">
        <v>19</v>
      </c>
      <c r="D34" t="s">
        <v>13</v>
      </c>
      <c r="E34">
        <v>165</v>
      </c>
      <c r="F34">
        <v>2021</v>
      </c>
      <c r="G34" t="s">
        <v>18</v>
      </c>
      <c r="H34">
        <v>33697.199999999997</v>
      </c>
      <c r="I34">
        <v>0</v>
      </c>
      <c r="J34">
        <v>311</v>
      </c>
      <c r="K34">
        <v>170</v>
      </c>
      <c r="L34" t="s">
        <v>41</v>
      </c>
      <c r="M34">
        <v>64</v>
      </c>
      <c r="N34" t="s">
        <v>16</v>
      </c>
      <c r="O34" t="s">
        <v>15</v>
      </c>
      <c r="P34" t="s">
        <v>11</v>
      </c>
      <c r="Q34">
        <v>195</v>
      </c>
      <c r="R34">
        <v>2019</v>
      </c>
      <c r="S34" t="s">
        <v>18</v>
      </c>
      <c r="T34" s="1">
        <v>30138.48</v>
      </c>
      <c r="U34">
        <v>311</v>
      </c>
      <c r="V34" t="s">
        <v>16</v>
      </c>
      <c r="W34" t="s">
        <v>23</v>
      </c>
      <c r="X34">
        <v>26619.599999999999</v>
      </c>
      <c r="Y34">
        <v>875</v>
      </c>
      <c r="Z34">
        <v>375</v>
      </c>
      <c r="AA34">
        <v>6000</v>
      </c>
      <c r="AB34" s="1">
        <v>4.4365999999999897</v>
      </c>
      <c r="AC34" t="s">
        <v>49</v>
      </c>
    </row>
    <row r="35" spans="1:29">
      <c r="A35">
        <v>388</v>
      </c>
      <c r="B35" t="s">
        <v>9</v>
      </c>
      <c r="C35" t="s">
        <v>23</v>
      </c>
      <c r="D35" t="s">
        <v>11</v>
      </c>
      <c r="E35">
        <v>225</v>
      </c>
      <c r="F35">
        <v>2021</v>
      </c>
      <c r="G35" t="s">
        <v>18</v>
      </c>
      <c r="H35">
        <v>113912.4</v>
      </c>
      <c r="I35">
        <v>0</v>
      </c>
      <c r="J35">
        <v>308</v>
      </c>
      <c r="K35">
        <v>55</v>
      </c>
      <c r="L35" t="s">
        <v>41</v>
      </c>
      <c r="M35">
        <v>64</v>
      </c>
      <c r="N35" t="s">
        <v>16</v>
      </c>
      <c r="O35" t="s">
        <v>23</v>
      </c>
      <c r="P35" t="s">
        <v>13</v>
      </c>
      <c r="Q35">
        <v>230</v>
      </c>
      <c r="R35">
        <v>2018</v>
      </c>
      <c r="S35" t="s">
        <v>18</v>
      </c>
      <c r="T35">
        <v>28861.63</v>
      </c>
      <c r="U35">
        <v>308</v>
      </c>
      <c r="V35" t="s">
        <v>16</v>
      </c>
      <c r="W35" t="s">
        <v>10</v>
      </c>
      <c r="X35">
        <v>26750.400000000001</v>
      </c>
      <c r="Y35">
        <v>875</v>
      </c>
      <c r="Z35">
        <v>175</v>
      </c>
      <c r="AA35">
        <v>8400</v>
      </c>
      <c r="AB35" s="1">
        <v>3.1845714285714202</v>
      </c>
      <c r="AC35" t="s">
        <v>49</v>
      </c>
    </row>
    <row r="36" spans="1:29">
      <c r="A36">
        <v>454</v>
      </c>
      <c r="B36" t="s">
        <v>9</v>
      </c>
      <c r="C36" t="s">
        <v>19</v>
      </c>
      <c r="D36" t="s">
        <v>11</v>
      </c>
      <c r="E36">
        <v>200</v>
      </c>
      <c r="F36">
        <v>2022</v>
      </c>
      <c r="G36" t="s">
        <v>12</v>
      </c>
      <c r="H36">
        <v>108716.01</v>
      </c>
      <c r="I36">
        <v>0</v>
      </c>
      <c r="J36">
        <v>56</v>
      </c>
      <c r="K36">
        <v>478</v>
      </c>
      <c r="L36" t="s">
        <v>40</v>
      </c>
      <c r="M36">
        <v>85</v>
      </c>
      <c r="N36" t="s">
        <v>9</v>
      </c>
      <c r="O36" t="s">
        <v>23</v>
      </c>
      <c r="P36" t="s">
        <v>13</v>
      </c>
      <c r="Q36">
        <v>220</v>
      </c>
      <c r="R36">
        <v>2022</v>
      </c>
      <c r="S36" t="s">
        <v>18</v>
      </c>
      <c r="T36">
        <v>124838.75</v>
      </c>
      <c r="U36">
        <v>56</v>
      </c>
      <c r="V36" t="s">
        <v>16</v>
      </c>
      <c r="W36" t="s">
        <v>23</v>
      </c>
      <c r="X36">
        <v>26795.599999999999</v>
      </c>
      <c r="Y36">
        <v>825</v>
      </c>
      <c r="Z36">
        <v>275</v>
      </c>
      <c r="AA36">
        <v>6600</v>
      </c>
      <c r="AB36" s="1">
        <v>4.0599393939393904</v>
      </c>
      <c r="AC36" t="s">
        <v>49</v>
      </c>
    </row>
    <row r="37" spans="1:29">
      <c r="A37">
        <v>127</v>
      </c>
      <c r="B37" t="s">
        <v>16</v>
      </c>
      <c r="C37" t="s">
        <v>17</v>
      </c>
      <c r="D37" t="s">
        <v>13</v>
      </c>
      <c r="E37">
        <v>170</v>
      </c>
      <c r="F37">
        <v>2019</v>
      </c>
      <c r="G37" t="s">
        <v>18</v>
      </c>
      <c r="H37">
        <v>28017.919999999998</v>
      </c>
      <c r="I37">
        <v>0</v>
      </c>
      <c r="J37">
        <v>13</v>
      </c>
      <c r="K37">
        <v>426</v>
      </c>
      <c r="L37" t="s">
        <v>40</v>
      </c>
      <c r="M37">
        <v>92</v>
      </c>
      <c r="N37" t="s">
        <v>20</v>
      </c>
      <c r="O37" t="s">
        <v>17</v>
      </c>
      <c r="P37" t="s">
        <v>11</v>
      </c>
      <c r="Q37">
        <v>185</v>
      </c>
      <c r="R37">
        <v>2022</v>
      </c>
      <c r="S37" t="s">
        <v>12</v>
      </c>
      <c r="T37">
        <v>124918.8</v>
      </c>
      <c r="U37">
        <v>13</v>
      </c>
      <c r="V37" t="s">
        <v>16</v>
      </c>
      <c r="W37" t="s">
        <v>19</v>
      </c>
      <c r="X37">
        <v>27072</v>
      </c>
      <c r="Y37">
        <v>950</v>
      </c>
      <c r="Z37">
        <v>225</v>
      </c>
      <c r="AA37">
        <v>8700</v>
      </c>
      <c r="AB37" s="1">
        <v>3.1117241379310299</v>
      </c>
      <c r="AC37" t="s">
        <v>49</v>
      </c>
    </row>
    <row r="38" spans="1:29">
      <c r="B38" t="s">
        <v>108</v>
      </c>
      <c r="C38" t="s">
        <v>108</v>
      </c>
      <c r="L38" t="s">
        <v>107</v>
      </c>
      <c r="U38">
        <v>497</v>
      </c>
      <c r="V38" t="s">
        <v>16</v>
      </c>
      <c r="W38" t="s">
        <v>17</v>
      </c>
      <c r="X38">
        <v>27095</v>
      </c>
      <c r="Y38">
        <v>875</v>
      </c>
      <c r="Z38">
        <v>325</v>
      </c>
      <c r="AA38">
        <v>6600</v>
      </c>
      <c r="AB38" s="1">
        <v>4.1053030303030296</v>
      </c>
      <c r="AC38" t="s">
        <v>49</v>
      </c>
    </row>
    <row r="39" spans="1:29">
      <c r="A39">
        <v>267</v>
      </c>
      <c r="B39" t="s">
        <v>16</v>
      </c>
      <c r="C39" t="s">
        <v>19</v>
      </c>
      <c r="D39" t="s">
        <v>11</v>
      </c>
      <c r="E39">
        <v>110</v>
      </c>
      <c r="F39">
        <v>2020</v>
      </c>
      <c r="G39" t="s">
        <v>22</v>
      </c>
      <c r="H39">
        <v>38785</v>
      </c>
      <c r="I39">
        <v>0</v>
      </c>
      <c r="J39">
        <v>146</v>
      </c>
      <c r="K39">
        <v>178</v>
      </c>
      <c r="L39" t="s">
        <v>40</v>
      </c>
      <c r="M39">
        <v>77</v>
      </c>
      <c r="N39" t="s">
        <v>9</v>
      </c>
      <c r="O39" t="s">
        <v>19</v>
      </c>
      <c r="P39" t="s">
        <v>13</v>
      </c>
      <c r="Q39">
        <v>205</v>
      </c>
      <c r="R39">
        <v>2019</v>
      </c>
      <c r="S39" t="s">
        <v>22</v>
      </c>
      <c r="T39">
        <v>108794.88</v>
      </c>
      <c r="U39">
        <v>146</v>
      </c>
      <c r="V39" t="s">
        <v>16</v>
      </c>
      <c r="W39" t="s">
        <v>19</v>
      </c>
      <c r="X39">
        <v>27133.88</v>
      </c>
      <c r="Y39">
        <v>950</v>
      </c>
      <c r="Z39">
        <v>250</v>
      </c>
      <c r="AA39">
        <v>8400</v>
      </c>
      <c r="AB39">
        <v>3.2302238095238098</v>
      </c>
      <c r="AC39" t="s">
        <v>49</v>
      </c>
    </row>
    <row r="40" spans="1:29">
      <c r="B40" t="s">
        <v>108</v>
      </c>
      <c r="C40" t="s">
        <v>108</v>
      </c>
      <c r="L40" t="s">
        <v>107</v>
      </c>
      <c r="U40">
        <v>431</v>
      </c>
      <c r="V40" t="s">
        <v>16</v>
      </c>
      <c r="W40" t="s">
        <v>19</v>
      </c>
      <c r="X40">
        <v>27138.720000000001</v>
      </c>
      <c r="Y40">
        <v>875</v>
      </c>
      <c r="Z40">
        <v>300</v>
      </c>
      <c r="AA40">
        <v>6900</v>
      </c>
      <c r="AB40" s="1">
        <v>3.9331478260869499</v>
      </c>
      <c r="AC40" t="s">
        <v>49</v>
      </c>
    </row>
    <row r="41" spans="1:29">
      <c r="A41">
        <v>228</v>
      </c>
      <c r="B41" t="s">
        <v>16</v>
      </c>
      <c r="C41" t="s">
        <v>19</v>
      </c>
      <c r="D41" t="s">
        <v>11</v>
      </c>
      <c r="E41">
        <v>185</v>
      </c>
      <c r="F41">
        <v>2019</v>
      </c>
      <c r="G41" t="s">
        <v>14</v>
      </c>
      <c r="H41">
        <v>36587.160000000003</v>
      </c>
      <c r="I41">
        <v>0</v>
      </c>
      <c r="J41">
        <v>342</v>
      </c>
      <c r="K41">
        <v>218</v>
      </c>
      <c r="L41" t="s">
        <v>41</v>
      </c>
      <c r="M41">
        <v>62</v>
      </c>
      <c r="N41" t="s">
        <v>16</v>
      </c>
      <c r="O41" t="s">
        <v>15</v>
      </c>
      <c r="P41" t="s">
        <v>13</v>
      </c>
      <c r="Q41">
        <v>205</v>
      </c>
      <c r="R41">
        <v>2019</v>
      </c>
      <c r="S41" t="s">
        <v>18</v>
      </c>
      <c r="T41" s="1">
        <v>35850.6</v>
      </c>
      <c r="U41">
        <v>342</v>
      </c>
      <c r="V41" t="s">
        <v>16</v>
      </c>
      <c r="W41" t="s">
        <v>17</v>
      </c>
      <c r="X41">
        <v>27154.799999999999</v>
      </c>
      <c r="Y41">
        <v>975</v>
      </c>
      <c r="Z41">
        <v>175</v>
      </c>
      <c r="AA41">
        <v>9600</v>
      </c>
      <c r="AB41" s="1">
        <v>2.82862499999999</v>
      </c>
      <c r="AC41" t="s">
        <v>49</v>
      </c>
    </row>
    <row r="42" spans="1:29">
      <c r="A42">
        <v>284</v>
      </c>
      <c r="B42" t="s">
        <v>9</v>
      </c>
      <c r="C42" t="s">
        <v>19</v>
      </c>
      <c r="D42" t="s">
        <v>11</v>
      </c>
      <c r="E42">
        <v>220</v>
      </c>
      <c r="F42">
        <v>2021</v>
      </c>
      <c r="G42" t="s">
        <v>14</v>
      </c>
      <c r="H42">
        <v>104505.52</v>
      </c>
      <c r="I42">
        <v>0</v>
      </c>
      <c r="J42">
        <v>245</v>
      </c>
      <c r="K42">
        <v>196</v>
      </c>
      <c r="L42" t="s">
        <v>40</v>
      </c>
      <c r="M42">
        <v>69</v>
      </c>
      <c r="N42" t="s">
        <v>20</v>
      </c>
      <c r="O42" t="s">
        <v>15</v>
      </c>
      <c r="P42" t="s">
        <v>21</v>
      </c>
      <c r="Q42">
        <v>165</v>
      </c>
      <c r="R42">
        <v>2019</v>
      </c>
      <c r="S42" t="s">
        <v>22</v>
      </c>
      <c r="T42">
        <v>106497.14</v>
      </c>
      <c r="U42">
        <v>245</v>
      </c>
      <c r="V42" t="s">
        <v>16</v>
      </c>
      <c r="W42" t="s">
        <v>23</v>
      </c>
      <c r="X42">
        <v>27254.880000000001</v>
      </c>
      <c r="Y42">
        <v>975</v>
      </c>
      <c r="Z42">
        <v>325</v>
      </c>
      <c r="AA42">
        <v>7800</v>
      </c>
      <c r="AB42" s="1">
        <v>3.4942153846153801</v>
      </c>
      <c r="AC42" t="s">
        <v>49</v>
      </c>
    </row>
    <row r="43" spans="1:29">
      <c r="A43">
        <v>322</v>
      </c>
      <c r="B43" t="s">
        <v>9</v>
      </c>
      <c r="C43" t="s">
        <v>19</v>
      </c>
      <c r="D43" t="s">
        <v>13</v>
      </c>
      <c r="E43">
        <v>200</v>
      </c>
      <c r="F43">
        <v>2021</v>
      </c>
      <c r="G43" t="s">
        <v>14</v>
      </c>
      <c r="H43">
        <v>105723.6</v>
      </c>
      <c r="I43">
        <v>0</v>
      </c>
      <c r="J43">
        <v>350</v>
      </c>
      <c r="K43">
        <v>81</v>
      </c>
      <c r="L43" t="s">
        <v>41</v>
      </c>
      <c r="M43">
        <v>61</v>
      </c>
      <c r="N43" t="s">
        <v>16</v>
      </c>
      <c r="O43" t="s">
        <v>17</v>
      </c>
      <c r="P43" t="s">
        <v>11</v>
      </c>
      <c r="Q43">
        <v>180</v>
      </c>
      <c r="R43">
        <v>2018</v>
      </c>
      <c r="S43" t="s">
        <v>14</v>
      </c>
      <c r="T43">
        <v>22632.19</v>
      </c>
      <c r="U43">
        <v>350</v>
      </c>
      <c r="V43" t="s">
        <v>16</v>
      </c>
      <c r="W43" t="s">
        <v>19</v>
      </c>
      <c r="X43">
        <v>27264</v>
      </c>
      <c r="Y43">
        <v>950</v>
      </c>
      <c r="Z43">
        <v>325</v>
      </c>
      <c r="AA43">
        <v>7500</v>
      </c>
      <c r="AB43">
        <v>3.6352000000000002</v>
      </c>
      <c r="AC43" t="s">
        <v>49</v>
      </c>
    </row>
    <row r="44" spans="1:29">
      <c r="A44">
        <v>197</v>
      </c>
      <c r="B44" t="s">
        <v>9</v>
      </c>
      <c r="C44" t="s">
        <v>15</v>
      </c>
      <c r="D44" t="s">
        <v>11</v>
      </c>
      <c r="E44">
        <v>95</v>
      </c>
      <c r="F44">
        <v>2019</v>
      </c>
      <c r="G44" t="s">
        <v>12</v>
      </c>
      <c r="H44">
        <v>115262.28</v>
      </c>
      <c r="I44">
        <v>0</v>
      </c>
      <c r="J44">
        <v>397</v>
      </c>
      <c r="K44">
        <v>414</v>
      </c>
      <c r="L44" t="s">
        <v>41</v>
      </c>
      <c r="M44">
        <v>56</v>
      </c>
      <c r="N44" t="s">
        <v>16</v>
      </c>
      <c r="O44" t="s">
        <v>17</v>
      </c>
      <c r="P44" t="s">
        <v>24</v>
      </c>
      <c r="Q44">
        <v>150</v>
      </c>
      <c r="R44">
        <v>2022</v>
      </c>
      <c r="S44" t="s">
        <v>14</v>
      </c>
      <c r="T44">
        <v>33428.94</v>
      </c>
      <c r="U44">
        <v>397</v>
      </c>
      <c r="V44" t="s">
        <v>16</v>
      </c>
      <c r="W44" t="s">
        <v>10</v>
      </c>
      <c r="X44">
        <v>27312</v>
      </c>
      <c r="Y44">
        <v>975</v>
      </c>
      <c r="Z44">
        <v>175</v>
      </c>
      <c r="AA44">
        <v>9600</v>
      </c>
      <c r="AB44">
        <v>2.8450000000000002</v>
      </c>
      <c r="AC44" t="s">
        <v>49</v>
      </c>
    </row>
    <row r="45" spans="1:29">
      <c r="A45">
        <v>189</v>
      </c>
      <c r="B45" t="s">
        <v>9</v>
      </c>
      <c r="C45" t="s">
        <v>15</v>
      </c>
      <c r="D45" t="s">
        <v>13</v>
      </c>
      <c r="E45">
        <v>135</v>
      </c>
      <c r="F45">
        <v>2019</v>
      </c>
      <c r="G45" t="s">
        <v>18</v>
      </c>
      <c r="H45">
        <v>112124.68</v>
      </c>
      <c r="I45">
        <v>0</v>
      </c>
      <c r="J45">
        <v>394</v>
      </c>
      <c r="K45">
        <v>141</v>
      </c>
      <c r="L45" t="s">
        <v>41</v>
      </c>
      <c r="M45">
        <v>56</v>
      </c>
      <c r="N45" t="s">
        <v>16</v>
      </c>
      <c r="O45" t="s">
        <v>17</v>
      </c>
      <c r="P45" t="s">
        <v>11</v>
      </c>
      <c r="Q45">
        <v>105</v>
      </c>
      <c r="R45">
        <v>2019</v>
      </c>
      <c r="S45" t="s">
        <v>18</v>
      </c>
      <c r="T45" s="1">
        <v>24252.799999999999</v>
      </c>
      <c r="U45">
        <v>394</v>
      </c>
      <c r="V45" t="s">
        <v>16</v>
      </c>
      <c r="W45" t="s">
        <v>17</v>
      </c>
      <c r="X45">
        <v>27364.799999999999</v>
      </c>
      <c r="Y45">
        <v>975</v>
      </c>
      <c r="Z45">
        <v>325</v>
      </c>
      <c r="AA45">
        <v>7800</v>
      </c>
      <c r="AB45" s="1">
        <v>3.5083076923076901</v>
      </c>
      <c r="AC45" t="s">
        <v>49</v>
      </c>
    </row>
    <row r="46" spans="1:29">
      <c r="A46">
        <v>196</v>
      </c>
      <c r="B46" t="s">
        <v>20</v>
      </c>
      <c r="C46" t="s">
        <v>15</v>
      </c>
      <c r="D46" t="s">
        <v>21</v>
      </c>
      <c r="E46">
        <v>165</v>
      </c>
      <c r="F46">
        <v>2019</v>
      </c>
      <c r="G46" t="s">
        <v>22</v>
      </c>
      <c r="H46">
        <v>106497.14</v>
      </c>
      <c r="I46">
        <v>0</v>
      </c>
      <c r="J46">
        <v>396</v>
      </c>
      <c r="K46">
        <v>132</v>
      </c>
      <c r="L46" t="s">
        <v>41</v>
      </c>
      <c r="M46">
        <v>56</v>
      </c>
      <c r="N46" t="s">
        <v>16</v>
      </c>
      <c r="O46" t="s">
        <v>19</v>
      </c>
      <c r="P46" t="s">
        <v>11</v>
      </c>
      <c r="Q46">
        <v>115</v>
      </c>
      <c r="R46">
        <v>2019</v>
      </c>
      <c r="S46" t="s">
        <v>14</v>
      </c>
      <c r="T46">
        <v>31024.080000000002</v>
      </c>
      <c r="U46">
        <v>396</v>
      </c>
      <c r="V46" t="s">
        <v>16</v>
      </c>
      <c r="W46" t="s">
        <v>23</v>
      </c>
      <c r="X46">
        <v>27524.400000000001</v>
      </c>
      <c r="Y46">
        <v>950</v>
      </c>
      <c r="Z46">
        <v>200</v>
      </c>
      <c r="AA46">
        <v>9000</v>
      </c>
      <c r="AB46" s="1">
        <v>3.0582666666666598</v>
      </c>
      <c r="AC46" t="s">
        <v>49</v>
      </c>
    </row>
    <row r="47" spans="1:29">
      <c r="A47">
        <v>317</v>
      </c>
      <c r="B47" t="s">
        <v>16</v>
      </c>
      <c r="C47" t="s">
        <v>17</v>
      </c>
      <c r="D47" t="s">
        <v>13</v>
      </c>
      <c r="E47">
        <v>135</v>
      </c>
      <c r="F47">
        <v>2021</v>
      </c>
      <c r="G47" t="s">
        <v>12</v>
      </c>
      <c r="H47">
        <v>27866.400000000001</v>
      </c>
      <c r="I47">
        <v>0</v>
      </c>
      <c r="J47">
        <v>39</v>
      </c>
      <c r="K47">
        <v>172</v>
      </c>
      <c r="L47" t="s">
        <v>40</v>
      </c>
      <c r="M47">
        <v>87</v>
      </c>
      <c r="N47" t="s">
        <v>9</v>
      </c>
      <c r="O47" t="s">
        <v>10</v>
      </c>
      <c r="P47" t="s">
        <v>11</v>
      </c>
      <c r="Q47">
        <v>215</v>
      </c>
      <c r="R47">
        <v>2019</v>
      </c>
      <c r="S47" t="s">
        <v>22</v>
      </c>
      <c r="T47">
        <v>115790.16</v>
      </c>
      <c r="U47">
        <v>39</v>
      </c>
      <c r="V47" t="s">
        <v>16</v>
      </c>
      <c r="W47" t="s">
        <v>19</v>
      </c>
      <c r="X47">
        <v>27865.95</v>
      </c>
      <c r="Y47">
        <v>950</v>
      </c>
      <c r="Z47">
        <v>175</v>
      </c>
      <c r="AA47">
        <v>9300</v>
      </c>
      <c r="AB47" s="1">
        <v>2.9963387096774099</v>
      </c>
      <c r="AC47" t="s">
        <v>49</v>
      </c>
    </row>
    <row r="48" spans="1:29">
      <c r="A48">
        <v>475</v>
      </c>
      <c r="B48" t="s">
        <v>9</v>
      </c>
      <c r="C48" t="s">
        <v>10</v>
      </c>
      <c r="D48" t="s">
        <v>11</v>
      </c>
      <c r="E48">
        <v>170</v>
      </c>
      <c r="F48">
        <v>2022</v>
      </c>
      <c r="G48" t="s">
        <v>18</v>
      </c>
      <c r="H48">
        <v>101576.25</v>
      </c>
      <c r="I48">
        <v>0</v>
      </c>
      <c r="J48">
        <v>317</v>
      </c>
      <c r="K48">
        <v>228</v>
      </c>
      <c r="L48" t="s">
        <v>41</v>
      </c>
      <c r="M48">
        <v>64</v>
      </c>
      <c r="N48" t="s">
        <v>16</v>
      </c>
      <c r="O48" t="s">
        <v>19</v>
      </c>
      <c r="P48" t="s">
        <v>11</v>
      </c>
      <c r="Q48">
        <v>185</v>
      </c>
      <c r="R48">
        <v>2019</v>
      </c>
      <c r="S48" t="s">
        <v>14</v>
      </c>
      <c r="T48">
        <v>36587.160000000003</v>
      </c>
      <c r="U48">
        <v>317</v>
      </c>
      <c r="V48" t="s">
        <v>16</v>
      </c>
      <c r="W48" t="s">
        <v>17</v>
      </c>
      <c r="X48">
        <v>27866.400000000001</v>
      </c>
      <c r="Y48">
        <v>875</v>
      </c>
      <c r="Z48">
        <v>350</v>
      </c>
      <c r="AA48">
        <v>6300</v>
      </c>
      <c r="AB48" s="1">
        <v>4.4232380952380899</v>
      </c>
      <c r="AC48" t="s">
        <v>49</v>
      </c>
    </row>
    <row r="49" spans="1:29">
      <c r="A49">
        <v>367</v>
      </c>
      <c r="B49" t="s">
        <v>16</v>
      </c>
      <c r="C49" t="s">
        <v>23</v>
      </c>
      <c r="D49" t="s">
        <v>11</v>
      </c>
      <c r="E49">
        <v>165</v>
      </c>
      <c r="F49">
        <v>2021</v>
      </c>
      <c r="G49" t="s">
        <v>14</v>
      </c>
      <c r="H49">
        <v>31366.799999999999</v>
      </c>
      <c r="I49">
        <v>0</v>
      </c>
      <c r="J49">
        <v>103</v>
      </c>
      <c r="K49">
        <v>265</v>
      </c>
      <c r="L49" t="s">
        <v>40</v>
      </c>
      <c r="M49">
        <v>80</v>
      </c>
      <c r="N49" t="s">
        <v>9</v>
      </c>
      <c r="O49" t="s">
        <v>23</v>
      </c>
      <c r="P49" t="s">
        <v>11</v>
      </c>
      <c r="Q49">
        <v>145</v>
      </c>
      <c r="R49">
        <v>2020</v>
      </c>
      <c r="S49" t="s">
        <v>18</v>
      </c>
      <c r="T49">
        <v>130821.25</v>
      </c>
      <c r="U49">
        <v>103</v>
      </c>
      <c r="V49" t="s">
        <v>16</v>
      </c>
      <c r="W49" t="s">
        <v>19</v>
      </c>
      <c r="X49">
        <v>27925.360000000001</v>
      </c>
      <c r="Y49">
        <v>950</v>
      </c>
      <c r="Z49">
        <v>325</v>
      </c>
      <c r="AA49">
        <v>7500</v>
      </c>
      <c r="AB49" s="1">
        <v>3.7233813333333301</v>
      </c>
      <c r="AC49" t="s">
        <v>49</v>
      </c>
    </row>
    <row r="50" spans="1:29">
      <c r="A50">
        <v>94</v>
      </c>
      <c r="B50" t="s">
        <v>16</v>
      </c>
      <c r="C50" t="s">
        <v>19</v>
      </c>
      <c r="D50" t="s">
        <v>13</v>
      </c>
      <c r="E50">
        <v>180</v>
      </c>
      <c r="F50">
        <v>2018</v>
      </c>
      <c r="G50" t="s">
        <v>12</v>
      </c>
      <c r="H50">
        <v>21810.25</v>
      </c>
      <c r="I50">
        <v>0</v>
      </c>
      <c r="J50">
        <v>127</v>
      </c>
      <c r="K50">
        <v>299</v>
      </c>
      <c r="L50" t="s">
        <v>40</v>
      </c>
      <c r="M50">
        <v>79</v>
      </c>
      <c r="N50" t="s">
        <v>9</v>
      </c>
      <c r="O50" t="s">
        <v>10</v>
      </c>
      <c r="P50" t="s">
        <v>11</v>
      </c>
      <c r="Q50">
        <v>105</v>
      </c>
      <c r="R50">
        <v>2021</v>
      </c>
      <c r="S50" t="s">
        <v>12</v>
      </c>
      <c r="T50">
        <v>121714.8</v>
      </c>
      <c r="U50">
        <v>127</v>
      </c>
      <c r="V50" t="s">
        <v>16</v>
      </c>
      <c r="W50" t="s">
        <v>17</v>
      </c>
      <c r="X50">
        <v>28017.919999999998</v>
      </c>
      <c r="Y50">
        <v>825</v>
      </c>
      <c r="Z50">
        <v>375</v>
      </c>
      <c r="AA50">
        <v>5400</v>
      </c>
      <c r="AB50" s="1">
        <v>5.1885037037036996</v>
      </c>
      <c r="AC50" t="s">
        <v>47</v>
      </c>
    </row>
    <row r="51" spans="1:29">
      <c r="A51">
        <v>269</v>
      </c>
      <c r="B51" t="s">
        <v>9</v>
      </c>
      <c r="C51" t="s">
        <v>10</v>
      </c>
      <c r="D51" t="s">
        <v>11</v>
      </c>
      <c r="E51">
        <v>130</v>
      </c>
      <c r="F51">
        <v>2020</v>
      </c>
      <c r="G51" t="s">
        <v>22</v>
      </c>
      <c r="H51">
        <v>107877.5</v>
      </c>
      <c r="I51">
        <v>0</v>
      </c>
      <c r="J51">
        <v>147</v>
      </c>
      <c r="K51">
        <v>489</v>
      </c>
      <c r="L51" t="s">
        <v>40</v>
      </c>
      <c r="M51">
        <v>77</v>
      </c>
      <c r="N51" t="s">
        <v>9</v>
      </c>
      <c r="O51" t="s">
        <v>17</v>
      </c>
      <c r="P51" t="s">
        <v>13</v>
      </c>
      <c r="Q51">
        <v>160</v>
      </c>
      <c r="R51">
        <v>2022</v>
      </c>
      <c r="S51" t="s">
        <v>22</v>
      </c>
      <c r="T51">
        <v>113731.25</v>
      </c>
      <c r="U51">
        <v>147</v>
      </c>
      <c r="V51" t="s">
        <v>16</v>
      </c>
      <c r="W51" t="s">
        <v>23</v>
      </c>
      <c r="X51">
        <v>28147.9</v>
      </c>
      <c r="Y51">
        <v>875</v>
      </c>
      <c r="Z51">
        <v>350</v>
      </c>
      <c r="AA51">
        <v>6300</v>
      </c>
      <c r="AB51" s="1">
        <v>4.4679206349206302</v>
      </c>
      <c r="AC51" t="s">
        <v>49</v>
      </c>
    </row>
    <row r="52" spans="1:29">
      <c r="A52">
        <v>35</v>
      </c>
      <c r="B52" t="s">
        <v>9</v>
      </c>
      <c r="C52" t="s">
        <v>23</v>
      </c>
      <c r="D52" t="s">
        <v>11</v>
      </c>
      <c r="E52">
        <v>145</v>
      </c>
      <c r="F52">
        <v>2017</v>
      </c>
      <c r="G52" t="s">
        <v>22</v>
      </c>
      <c r="H52">
        <v>90675</v>
      </c>
      <c r="I52">
        <v>0</v>
      </c>
      <c r="J52">
        <v>373</v>
      </c>
      <c r="K52">
        <v>183</v>
      </c>
      <c r="L52" t="s">
        <v>41</v>
      </c>
      <c r="M52">
        <v>59</v>
      </c>
      <c r="N52" t="s">
        <v>16</v>
      </c>
      <c r="O52" t="s">
        <v>15</v>
      </c>
      <c r="P52" t="s">
        <v>13</v>
      </c>
      <c r="Q52">
        <v>195</v>
      </c>
      <c r="R52">
        <v>2019</v>
      </c>
      <c r="S52" t="s">
        <v>22</v>
      </c>
      <c r="T52">
        <v>34563.42</v>
      </c>
      <c r="U52">
        <v>373</v>
      </c>
      <c r="V52" t="s">
        <v>16</v>
      </c>
      <c r="W52" t="s">
        <v>17</v>
      </c>
      <c r="X52">
        <v>28458</v>
      </c>
      <c r="Y52">
        <v>975</v>
      </c>
      <c r="Z52">
        <v>225</v>
      </c>
      <c r="AA52">
        <v>9000</v>
      </c>
      <c r="AB52">
        <v>3.1619999999999999</v>
      </c>
      <c r="AC52" t="s">
        <v>49</v>
      </c>
    </row>
    <row r="53" spans="1:29">
      <c r="A53">
        <v>275</v>
      </c>
      <c r="B53" t="s">
        <v>16</v>
      </c>
      <c r="C53" t="s">
        <v>19</v>
      </c>
      <c r="D53" t="s">
        <v>11</v>
      </c>
      <c r="E53">
        <v>180</v>
      </c>
      <c r="F53">
        <v>2020</v>
      </c>
      <c r="G53" t="s">
        <v>12</v>
      </c>
      <c r="H53">
        <v>44290</v>
      </c>
      <c r="I53">
        <v>0</v>
      </c>
      <c r="J53">
        <v>290</v>
      </c>
      <c r="K53">
        <v>151</v>
      </c>
      <c r="L53" t="s">
        <v>40</v>
      </c>
      <c r="M53">
        <v>66</v>
      </c>
      <c r="N53" t="s">
        <v>9</v>
      </c>
      <c r="O53" t="s">
        <v>17</v>
      </c>
      <c r="P53" t="s">
        <v>13</v>
      </c>
      <c r="Q53">
        <v>100</v>
      </c>
      <c r="R53">
        <v>2019</v>
      </c>
      <c r="S53" t="s">
        <v>12</v>
      </c>
      <c r="T53">
        <v>98223.84</v>
      </c>
      <c r="U53">
        <v>290</v>
      </c>
      <c r="V53" t="s">
        <v>16</v>
      </c>
      <c r="W53" t="s">
        <v>10</v>
      </c>
      <c r="X53">
        <v>28506</v>
      </c>
      <c r="Y53">
        <v>975</v>
      </c>
      <c r="Z53">
        <v>350</v>
      </c>
      <c r="AA53">
        <v>7500</v>
      </c>
      <c r="AB53">
        <v>3.8008000000000002</v>
      </c>
      <c r="AC53" t="s">
        <v>49</v>
      </c>
    </row>
    <row r="54" spans="1:29">
      <c r="A54">
        <v>219</v>
      </c>
      <c r="B54" t="s">
        <v>16</v>
      </c>
      <c r="C54" t="s">
        <v>23</v>
      </c>
      <c r="D54" t="s">
        <v>11</v>
      </c>
      <c r="E54">
        <v>110</v>
      </c>
      <c r="F54">
        <v>2019</v>
      </c>
      <c r="G54" t="s">
        <v>18</v>
      </c>
      <c r="H54">
        <v>31851.94</v>
      </c>
      <c r="I54">
        <v>0</v>
      </c>
      <c r="J54">
        <v>88</v>
      </c>
      <c r="K54">
        <v>283</v>
      </c>
      <c r="L54" t="s">
        <v>40</v>
      </c>
      <c r="M54">
        <v>82</v>
      </c>
      <c r="N54" t="s">
        <v>9</v>
      </c>
      <c r="O54" t="s">
        <v>15</v>
      </c>
      <c r="P54" t="s">
        <v>11</v>
      </c>
      <c r="Q54">
        <v>185</v>
      </c>
      <c r="R54">
        <v>2021</v>
      </c>
      <c r="S54" t="s">
        <v>22</v>
      </c>
      <c r="T54">
        <v>122922.96</v>
      </c>
      <c r="U54">
        <v>88</v>
      </c>
      <c r="V54" t="s">
        <v>16</v>
      </c>
      <c r="W54" t="s">
        <v>23</v>
      </c>
      <c r="X54">
        <v>28656.66</v>
      </c>
      <c r="Y54">
        <v>950</v>
      </c>
      <c r="Z54">
        <v>300</v>
      </c>
      <c r="AA54">
        <v>7800</v>
      </c>
      <c r="AB54" s="1">
        <v>3.6739307692307599</v>
      </c>
      <c r="AC54" t="s">
        <v>49</v>
      </c>
    </row>
    <row r="55" spans="1:29">
      <c r="A55">
        <v>383</v>
      </c>
      <c r="B55" t="s">
        <v>9</v>
      </c>
      <c r="C55" t="s">
        <v>23</v>
      </c>
      <c r="D55" t="s">
        <v>13</v>
      </c>
      <c r="E55">
        <v>245</v>
      </c>
      <c r="F55">
        <v>2021</v>
      </c>
      <c r="G55" t="s">
        <v>14</v>
      </c>
      <c r="H55">
        <v>117771.6</v>
      </c>
      <c r="I55">
        <v>0</v>
      </c>
      <c r="J55">
        <v>413</v>
      </c>
      <c r="K55">
        <v>273</v>
      </c>
      <c r="L55" t="s">
        <v>41</v>
      </c>
      <c r="M55">
        <v>55</v>
      </c>
      <c r="N55" t="s">
        <v>16</v>
      </c>
      <c r="O55" t="s">
        <v>15</v>
      </c>
      <c r="P55" t="s">
        <v>13</v>
      </c>
      <c r="Q55">
        <v>140</v>
      </c>
      <c r="R55">
        <v>2020</v>
      </c>
      <c r="S55" t="s">
        <v>18</v>
      </c>
      <c r="T55">
        <v>43681.25</v>
      </c>
      <c r="U55">
        <v>413</v>
      </c>
      <c r="V55" t="s">
        <v>16</v>
      </c>
      <c r="W55" t="s">
        <v>17</v>
      </c>
      <c r="X55">
        <v>28665.15</v>
      </c>
      <c r="Y55">
        <v>825</v>
      </c>
      <c r="AA55">
        <v>9900</v>
      </c>
      <c r="AB55" s="1">
        <v>2.8954696969696898</v>
      </c>
      <c r="AC55" t="s">
        <v>49</v>
      </c>
    </row>
    <row r="56" spans="1:29">
      <c r="A56">
        <v>452</v>
      </c>
      <c r="B56" t="s">
        <v>20</v>
      </c>
      <c r="C56" t="s">
        <v>15</v>
      </c>
      <c r="D56" t="s">
        <v>11</v>
      </c>
      <c r="E56">
        <v>105</v>
      </c>
      <c r="F56">
        <v>2022</v>
      </c>
      <c r="G56" t="s">
        <v>14</v>
      </c>
      <c r="H56">
        <v>110757.81</v>
      </c>
      <c r="I56">
        <v>0</v>
      </c>
      <c r="J56">
        <v>55</v>
      </c>
      <c r="K56">
        <v>287</v>
      </c>
      <c r="L56" t="s">
        <v>40</v>
      </c>
      <c r="M56">
        <v>85</v>
      </c>
      <c r="N56" t="s">
        <v>9</v>
      </c>
      <c r="O56" t="s">
        <v>15</v>
      </c>
      <c r="P56" t="s">
        <v>11</v>
      </c>
      <c r="Q56">
        <v>215</v>
      </c>
      <c r="R56">
        <v>2021</v>
      </c>
      <c r="S56" t="s">
        <v>14</v>
      </c>
      <c r="T56">
        <v>121669.2</v>
      </c>
      <c r="U56">
        <v>55</v>
      </c>
      <c r="V56" t="s">
        <v>16</v>
      </c>
      <c r="W56" t="s">
        <v>23</v>
      </c>
      <c r="X56">
        <v>28861.63</v>
      </c>
      <c r="Y56">
        <v>825</v>
      </c>
      <c r="Z56">
        <v>325</v>
      </c>
      <c r="AA56">
        <v>6000</v>
      </c>
      <c r="AB56" s="1">
        <v>4.8102716666666598</v>
      </c>
      <c r="AC56" t="s">
        <v>49</v>
      </c>
    </row>
    <row r="57" spans="1:29">
      <c r="A57">
        <v>250</v>
      </c>
      <c r="B57" t="s">
        <v>9</v>
      </c>
      <c r="C57" t="s">
        <v>10</v>
      </c>
      <c r="D57" t="s">
        <v>13</v>
      </c>
      <c r="E57">
        <v>95</v>
      </c>
      <c r="F57">
        <v>2019</v>
      </c>
      <c r="G57" t="s">
        <v>12</v>
      </c>
      <c r="H57">
        <v>107901.72</v>
      </c>
      <c r="I57">
        <v>0</v>
      </c>
      <c r="J57">
        <v>145</v>
      </c>
      <c r="K57">
        <v>327</v>
      </c>
      <c r="L57" t="s">
        <v>40</v>
      </c>
      <c r="M57">
        <v>77</v>
      </c>
      <c r="N57" t="s">
        <v>9</v>
      </c>
      <c r="O57" t="s">
        <v>15</v>
      </c>
      <c r="P57" t="s">
        <v>13</v>
      </c>
      <c r="Q57">
        <v>175</v>
      </c>
      <c r="R57">
        <v>2021</v>
      </c>
      <c r="S57" t="s">
        <v>22</v>
      </c>
      <c r="T57">
        <v>103276.8</v>
      </c>
      <c r="U57">
        <v>145</v>
      </c>
      <c r="V57" t="s">
        <v>16</v>
      </c>
      <c r="W57" t="s">
        <v>15</v>
      </c>
      <c r="X57">
        <v>28924.22</v>
      </c>
      <c r="Y57">
        <v>875</v>
      </c>
      <c r="Z57">
        <v>325</v>
      </c>
      <c r="AA57">
        <v>6600</v>
      </c>
      <c r="AB57" s="1">
        <v>4.3824575757575701</v>
      </c>
      <c r="AC57" t="s">
        <v>49</v>
      </c>
    </row>
    <row r="58" spans="1:29">
      <c r="A58">
        <v>226</v>
      </c>
      <c r="B58" t="s">
        <v>9</v>
      </c>
      <c r="C58" t="s">
        <v>23</v>
      </c>
      <c r="D58" t="s">
        <v>13</v>
      </c>
      <c r="E58">
        <v>245</v>
      </c>
      <c r="F58">
        <v>2019</v>
      </c>
      <c r="G58" t="s">
        <v>12</v>
      </c>
      <c r="H58">
        <v>114874.32</v>
      </c>
      <c r="I58">
        <v>0</v>
      </c>
      <c r="J58">
        <v>193</v>
      </c>
      <c r="K58">
        <v>480</v>
      </c>
      <c r="L58" t="s">
        <v>40</v>
      </c>
      <c r="M58">
        <v>72</v>
      </c>
      <c r="N58" t="s">
        <v>16</v>
      </c>
      <c r="O58" t="s">
        <v>10</v>
      </c>
      <c r="P58" t="s">
        <v>11</v>
      </c>
      <c r="Q58">
        <v>180</v>
      </c>
      <c r="R58">
        <v>2022</v>
      </c>
      <c r="S58" t="s">
        <v>18</v>
      </c>
      <c r="T58">
        <v>30970</v>
      </c>
      <c r="U58">
        <v>193</v>
      </c>
      <c r="V58" t="s">
        <v>16</v>
      </c>
      <c r="W58" t="s">
        <v>17</v>
      </c>
      <c r="X58">
        <v>29115.02</v>
      </c>
      <c r="Y58">
        <v>975</v>
      </c>
      <c r="Z58">
        <v>325</v>
      </c>
      <c r="AA58">
        <v>7800</v>
      </c>
      <c r="AB58" s="1">
        <v>3.73269487179487</v>
      </c>
      <c r="AC58" t="s">
        <v>49</v>
      </c>
    </row>
    <row r="59" spans="1:29">
      <c r="A59">
        <v>183</v>
      </c>
      <c r="B59" t="s">
        <v>16</v>
      </c>
      <c r="C59" t="s">
        <v>15</v>
      </c>
      <c r="D59" t="s">
        <v>13</v>
      </c>
      <c r="E59">
        <v>195</v>
      </c>
      <c r="F59">
        <v>2019</v>
      </c>
      <c r="G59" t="s">
        <v>22</v>
      </c>
      <c r="H59">
        <v>34563.42</v>
      </c>
      <c r="I59">
        <v>0</v>
      </c>
      <c r="J59">
        <v>391</v>
      </c>
      <c r="K59">
        <v>45</v>
      </c>
      <c r="L59" t="s">
        <v>41</v>
      </c>
      <c r="M59">
        <v>56</v>
      </c>
      <c r="N59" t="s">
        <v>16</v>
      </c>
      <c r="O59" t="s">
        <v>19</v>
      </c>
      <c r="P59" t="s">
        <v>13</v>
      </c>
      <c r="Q59">
        <v>190</v>
      </c>
      <c r="R59">
        <v>2018</v>
      </c>
      <c r="S59" t="s">
        <v>14</v>
      </c>
      <c r="T59">
        <v>22866</v>
      </c>
      <c r="U59">
        <v>391</v>
      </c>
      <c r="V59" t="s">
        <v>16</v>
      </c>
      <c r="W59" t="s">
        <v>19</v>
      </c>
      <c r="X59">
        <v>29400</v>
      </c>
      <c r="Y59">
        <v>875</v>
      </c>
      <c r="Z59">
        <v>325</v>
      </c>
      <c r="AA59">
        <v>6600</v>
      </c>
      <c r="AB59" s="1">
        <v>4.4545454545454497</v>
      </c>
      <c r="AC59" t="s">
        <v>49</v>
      </c>
    </row>
    <row r="60" spans="1:29">
      <c r="A60">
        <v>265</v>
      </c>
      <c r="B60" t="s">
        <v>9</v>
      </c>
      <c r="C60" t="s">
        <v>23</v>
      </c>
      <c r="D60" t="s">
        <v>11</v>
      </c>
      <c r="E60">
        <v>145</v>
      </c>
      <c r="F60">
        <v>2020</v>
      </c>
      <c r="G60" t="s">
        <v>18</v>
      </c>
      <c r="H60">
        <v>130821.25</v>
      </c>
      <c r="I60">
        <v>0</v>
      </c>
      <c r="J60">
        <v>29</v>
      </c>
      <c r="K60">
        <v>372</v>
      </c>
      <c r="L60" t="s">
        <v>40</v>
      </c>
      <c r="M60">
        <v>88</v>
      </c>
      <c r="N60" t="s">
        <v>20</v>
      </c>
      <c r="O60" t="s">
        <v>15</v>
      </c>
      <c r="P60" t="s">
        <v>24</v>
      </c>
      <c r="Q60">
        <v>200</v>
      </c>
      <c r="R60">
        <v>2021</v>
      </c>
      <c r="S60" t="s">
        <v>14</v>
      </c>
      <c r="T60">
        <v>112762.8</v>
      </c>
      <c r="U60">
        <v>29</v>
      </c>
      <c r="V60" t="s">
        <v>16</v>
      </c>
      <c r="W60" t="s">
        <v>17</v>
      </c>
      <c r="X60">
        <v>29622</v>
      </c>
      <c r="Y60">
        <v>975</v>
      </c>
      <c r="Z60">
        <v>350</v>
      </c>
      <c r="AA60">
        <v>7500</v>
      </c>
      <c r="AB60">
        <v>3.9496000000000002</v>
      </c>
      <c r="AC60" t="s">
        <v>49</v>
      </c>
    </row>
    <row r="61" spans="1:29">
      <c r="A61">
        <v>488</v>
      </c>
      <c r="B61" t="s">
        <v>9</v>
      </c>
      <c r="C61" t="s">
        <v>15</v>
      </c>
      <c r="D61" t="s">
        <v>13</v>
      </c>
      <c r="E61">
        <v>245</v>
      </c>
      <c r="F61">
        <v>2022</v>
      </c>
      <c r="G61" t="s">
        <v>14</v>
      </c>
      <c r="H61">
        <v>123923.75</v>
      </c>
      <c r="I61">
        <v>0</v>
      </c>
      <c r="J61">
        <v>323</v>
      </c>
      <c r="K61">
        <v>313</v>
      </c>
      <c r="L61" t="s">
        <v>41</v>
      </c>
      <c r="M61">
        <v>63</v>
      </c>
      <c r="N61" t="s">
        <v>16</v>
      </c>
      <c r="O61" t="s">
        <v>17</v>
      </c>
      <c r="P61" t="s">
        <v>11</v>
      </c>
      <c r="Q61">
        <v>140</v>
      </c>
      <c r="R61">
        <v>2021</v>
      </c>
      <c r="S61" t="s">
        <v>18</v>
      </c>
      <c r="T61">
        <v>30336</v>
      </c>
      <c r="U61">
        <v>323</v>
      </c>
      <c r="V61" t="s">
        <v>16</v>
      </c>
      <c r="W61" t="s">
        <v>10</v>
      </c>
      <c r="X61">
        <v>29636.400000000001</v>
      </c>
      <c r="Y61">
        <v>825</v>
      </c>
      <c r="Z61">
        <v>200</v>
      </c>
      <c r="AA61">
        <v>7500</v>
      </c>
      <c r="AB61">
        <v>3.9515199999999999</v>
      </c>
      <c r="AC61" t="s">
        <v>49</v>
      </c>
    </row>
    <row r="62" spans="1:29">
      <c r="A62">
        <v>339</v>
      </c>
      <c r="B62" t="s">
        <v>9</v>
      </c>
      <c r="C62" t="s">
        <v>15</v>
      </c>
      <c r="D62" t="s">
        <v>11</v>
      </c>
      <c r="E62">
        <v>195</v>
      </c>
      <c r="F62">
        <v>2021</v>
      </c>
      <c r="G62" t="s">
        <v>14</v>
      </c>
      <c r="H62">
        <v>111172.8</v>
      </c>
      <c r="I62">
        <v>0</v>
      </c>
      <c r="J62">
        <v>254</v>
      </c>
      <c r="K62">
        <v>493</v>
      </c>
      <c r="L62" t="s">
        <v>40</v>
      </c>
      <c r="M62">
        <v>68</v>
      </c>
      <c r="N62" t="s">
        <v>16</v>
      </c>
      <c r="O62" t="s">
        <v>23</v>
      </c>
      <c r="P62" t="s">
        <v>11</v>
      </c>
      <c r="Q62">
        <v>145</v>
      </c>
      <c r="R62">
        <v>2022</v>
      </c>
      <c r="S62" t="s">
        <v>14</v>
      </c>
      <c r="T62">
        <v>46676.25</v>
      </c>
      <c r="U62">
        <v>254</v>
      </c>
      <c r="V62" t="s">
        <v>16</v>
      </c>
      <c r="W62" t="s">
        <v>23</v>
      </c>
      <c r="X62">
        <v>29835.82</v>
      </c>
      <c r="Y62">
        <v>950</v>
      </c>
      <c r="Z62">
        <v>225</v>
      </c>
      <c r="AA62">
        <v>8700</v>
      </c>
      <c r="AB62">
        <v>3.4294045977011498</v>
      </c>
      <c r="AC62" t="s">
        <v>49</v>
      </c>
    </row>
    <row r="63" spans="1:29">
      <c r="B63" t="s">
        <v>108</v>
      </c>
      <c r="C63" t="s">
        <v>108</v>
      </c>
      <c r="L63" t="s">
        <v>107</v>
      </c>
      <c r="U63">
        <v>427</v>
      </c>
      <c r="V63" t="s">
        <v>16</v>
      </c>
      <c r="W63" t="s">
        <v>23</v>
      </c>
      <c r="X63">
        <v>29895.15</v>
      </c>
      <c r="Y63">
        <v>950</v>
      </c>
      <c r="Z63">
        <v>275</v>
      </c>
      <c r="AA63">
        <v>8100</v>
      </c>
      <c r="AB63" s="1">
        <v>3.69075925925925</v>
      </c>
      <c r="AC63" t="s">
        <v>49</v>
      </c>
    </row>
    <row r="64" spans="1:29">
      <c r="B64" t="s">
        <v>108</v>
      </c>
      <c r="C64" t="s">
        <v>108</v>
      </c>
      <c r="L64" t="s">
        <v>107</v>
      </c>
      <c r="U64">
        <v>491</v>
      </c>
      <c r="V64" t="s">
        <v>16</v>
      </c>
      <c r="W64" t="s">
        <v>19</v>
      </c>
      <c r="X64">
        <v>29931.25</v>
      </c>
      <c r="Y64">
        <v>875</v>
      </c>
      <c r="Z64">
        <v>325</v>
      </c>
      <c r="AA64">
        <v>6600</v>
      </c>
      <c r="AB64" s="1">
        <v>4.53503787878787</v>
      </c>
      <c r="AC64" t="s">
        <v>49</v>
      </c>
    </row>
    <row r="65" spans="1:29">
      <c r="A65">
        <v>482</v>
      </c>
      <c r="B65" t="s">
        <v>16</v>
      </c>
      <c r="C65" t="s">
        <v>17</v>
      </c>
      <c r="D65" t="s">
        <v>11</v>
      </c>
      <c r="E65">
        <v>110</v>
      </c>
      <c r="F65">
        <v>2022</v>
      </c>
      <c r="G65" t="s">
        <v>12</v>
      </c>
      <c r="H65">
        <v>32543.75</v>
      </c>
      <c r="I65">
        <v>0</v>
      </c>
      <c r="J65">
        <v>321</v>
      </c>
      <c r="K65">
        <v>166</v>
      </c>
      <c r="L65" t="s">
        <v>41</v>
      </c>
      <c r="M65">
        <v>64</v>
      </c>
      <c r="N65" t="s">
        <v>9</v>
      </c>
      <c r="O65" t="s">
        <v>19</v>
      </c>
      <c r="P65" t="s">
        <v>24</v>
      </c>
      <c r="Q65">
        <v>95</v>
      </c>
      <c r="R65">
        <v>2019</v>
      </c>
      <c r="S65" t="s">
        <v>14</v>
      </c>
      <c r="T65">
        <v>101584.8</v>
      </c>
      <c r="U65">
        <v>321</v>
      </c>
      <c r="V65" t="s">
        <v>16</v>
      </c>
      <c r="W65" t="s">
        <v>15</v>
      </c>
      <c r="X65">
        <v>30102</v>
      </c>
      <c r="Y65">
        <v>950</v>
      </c>
      <c r="AA65">
        <v>11400</v>
      </c>
      <c r="AB65" s="1">
        <v>2.6405263157894701</v>
      </c>
      <c r="AC65" t="s">
        <v>49</v>
      </c>
    </row>
    <row r="66" spans="1:29">
      <c r="A66">
        <v>41</v>
      </c>
      <c r="B66" t="s">
        <v>20</v>
      </c>
      <c r="C66" t="s">
        <v>23</v>
      </c>
      <c r="D66" t="s">
        <v>11</v>
      </c>
      <c r="E66">
        <v>140</v>
      </c>
      <c r="F66">
        <v>2018</v>
      </c>
      <c r="G66" t="s">
        <v>14</v>
      </c>
      <c r="H66">
        <v>114636.9</v>
      </c>
      <c r="I66">
        <v>0</v>
      </c>
      <c r="J66">
        <v>328</v>
      </c>
      <c r="K66">
        <v>389</v>
      </c>
      <c r="L66" t="s">
        <v>41</v>
      </c>
      <c r="M66">
        <v>63</v>
      </c>
      <c r="N66" t="s">
        <v>16</v>
      </c>
      <c r="O66" t="s">
        <v>17</v>
      </c>
      <c r="P66" t="s">
        <v>11</v>
      </c>
      <c r="Q66">
        <v>135</v>
      </c>
      <c r="R66">
        <v>2021</v>
      </c>
      <c r="S66" t="s">
        <v>18</v>
      </c>
      <c r="T66">
        <v>39584.400000000001</v>
      </c>
      <c r="U66">
        <v>328</v>
      </c>
      <c r="V66" t="s">
        <v>16</v>
      </c>
      <c r="W66" t="s">
        <v>17</v>
      </c>
      <c r="X66">
        <v>30178.799999999999</v>
      </c>
      <c r="Y66">
        <v>975</v>
      </c>
      <c r="Z66">
        <v>300</v>
      </c>
      <c r="AA66">
        <v>8100</v>
      </c>
      <c r="AB66" s="1">
        <v>3.7257777777777701</v>
      </c>
      <c r="AC66" t="s">
        <v>49</v>
      </c>
    </row>
    <row r="67" spans="1:29">
      <c r="A67">
        <v>24</v>
      </c>
      <c r="B67" t="s">
        <v>9</v>
      </c>
      <c r="C67" t="s">
        <v>17</v>
      </c>
      <c r="D67" t="s">
        <v>11</v>
      </c>
      <c r="E67">
        <v>120</v>
      </c>
      <c r="F67">
        <v>2017</v>
      </c>
      <c r="G67" t="s">
        <v>14</v>
      </c>
      <c r="H67">
        <v>97806</v>
      </c>
      <c r="I67">
        <v>0</v>
      </c>
      <c r="J67">
        <v>66</v>
      </c>
      <c r="K67">
        <v>280</v>
      </c>
      <c r="L67" t="s">
        <v>40</v>
      </c>
      <c r="M67">
        <v>83</v>
      </c>
      <c r="N67" t="s">
        <v>9</v>
      </c>
      <c r="O67" t="s">
        <v>23</v>
      </c>
      <c r="P67" t="s">
        <v>11</v>
      </c>
      <c r="Q67">
        <v>150</v>
      </c>
      <c r="R67">
        <v>2021</v>
      </c>
      <c r="S67" t="s">
        <v>14</v>
      </c>
      <c r="T67">
        <v>94686.74</v>
      </c>
      <c r="U67">
        <v>66</v>
      </c>
      <c r="V67" t="s">
        <v>16</v>
      </c>
      <c r="W67" t="s">
        <v>15</v>
      </c>
      <c r="X67">
        <v>30245.279999999999</v>
      </c>
      <c r="Y67">
        <v>825</v>
      </c>
      <c r="Z67">
        <v>400</v>
      </c>
      <c r="AA67">
        <v>5100</v>
      </c>
      <c r="AB67">
        <v>5.9304470588235301</v>
      </c>
      <c r="AC67" t="s">
        <v>47</v>
      </c>
    </row>
    <row r="68" spans="1:29">
      <c r="A68">
        <v>351</v>
      </c>
      <c r="B68" t="s">
        <v>9</v>
      </c>
      <c r="C68" t="s">
        <v>10</v>
      </c>
      <c r="D68" t="s">
        <v>13</v>
      </c>
      <c r="E68">
        <v>230</v>
      </c>
      <c r="F68">
        <v>2021</v>
      </c>
      <c r="G68" t="s">
        <v>22</v>
      </c>
      <c r="H68">
        <v>126897.60000000001</v>
      </c>
      <c r="I68">
        <v>0</v>
      </c>
      <c r="J68">
        <v>256</v>
      </c>
      <c r="K68">
        <v>461</v>
      </c>
      <c r="L68" t="s">
        <v>40</v>
      </c>
      <c r="M68">
        <v>68</v>
      </c>
      <c r="N68" t="s">
        <v>16</v>
      </c>
      <c r="O68" t="s">
        <v>23</v>
      </c>
      <c r="P68" t="s">
        <v>11</v>
      </c>
      <c r="Q68">
        <v>125</v>
      </c>
      <c r="R68">
        <v>2022</v>
      </c>
      <c r="S68" t="s">
        <v>22</v>
      </c>
      <c r="T68">
        <v>48907.26</v>
      </c>
      <c r="U68">
        <v>256</v>
      </c>
      <c r="V68" t="s">
        <v>16</v>
      </c>
      <c r="W68" t="s">
        <v>17</v>
      </c>
      <c r="X68">
        <v>30325</v>
      </c>
      <c r="Y68">
        <v>875</v>
      </c>
      <c r="Z68">
        <v>350</v>
      </c>
      <c r="AA68">
        <v>6300</v>
      </c>
      <c r="AB68" s="1">
        <v>4.8134920634920597</v>
      </c>
      <c r="AC68" t="s">
        <v>49</v>
      </c>
    </row>
    <row r="69" spans="1:29">
      <c r="A69">
        <v>435</v>
      </c>
      <c r="B69" t="s">
        <v>9</v>
      </c>
      <c r="C69" t="s">
        <v>17</v>
      </c>
      <c r="D69" t="s">
        <v>11</v>
      </c>
      <c r="E69">
        <v>160</v>
      </c>
      <c r="F69">
        <v>2022</v>
      </c>
      <c r="G69" t="s">
        <v>22</v>
      </c>
      <c r="H69">
        <v>121287.84</v>
      </c>
      <c r="I69">
        <v>0</v>
      </c>
      <c r="J69">
        <v>313</v>
      </c>
      <c r="K69">
        <v>162</v>
      </c>
      <c r="L69" t="s">
        <v>41</v>
      </c>
      <c r="M69">
        <v>64</v>
      </c>
      <c r="N69" t="s">
        <v>16</v>
      </c>
      <c r="O69" t="s">
        <v>17</v>
      </c>
      <c r="P69" t="s">
        <v>11</v>
      </c>
      <c r="Q69">
        <v>175</v>
      </c>
      <c r="R69">
        <v>2019</v>
      </c>
      <c r="S69" t="s">
        <v>18</v>
      </c>
      <c r="T69" s="1">
        <v>34003.74</v>
      </c>
      <c r="U69">
        <v>313</v>
      </c>
      <c r="V69" t="s">
        <v>16</v>
      </c>
      <c r="W69" t="s">
        <v>17</v>
      </c>
      <c r="X69">
        <v>30336</v>
      </c>
      <c r="Y69">
        <v>825</v>
      </c>
      <c r="Z69">
        <v>325</v>
      </c>
      <c r="AA69">
        <v>6000</v>
      </c>
      <c r="AB69">
        <v>5.056</v>
      </c>
      <c r="AC69" t="s">
        <v>47</v>
      </c>
    </row>
    <row r="70" spans="1:29">
      <c r="A70">
        <v>168</v>
      </c>
      <c r="B70" t="s">
        <v>9</v>
      </c>
      <c r="C70" t="s">
        <v>19</v>
      </c>
      <c r="D70" t="s">
        <v>11</v>
      </c>
      <c r="E70">
        <v>90</v>
      </c>
      <c r="F70">
        <v>2019</v>
      </c>
      <c r="G70" t="s">
        <v>22</v>
      </c>
      <c r="H70">
        <v>113217.54</v>
      </c>
      <c r="I70">
        <v>0</v>
      </c>
      <c r="J70">
        <v>185</v>
      </c>
      <c r="K70">
        <v>362</v>
      </c>
      <c r="L70" t="s">
        <v>40</v>
      </c>
      <c r="M70">
        <v>73</v>
      </c>
      <c r="N70" t="s">
        <v>9</v>
      </c>
      <c r="O70" t="s">
        <v>15</v>
      </c>
      <c r="P70" t="s">
        <v>13</v>
      </c>
      <c r="Q70">
        <v>140</v>
      </c>
      <c r="R70">
        <v>2021</v>
      </c>
      <c r="S70" t="s">
        <v>22</v>
      </c>
      <c r="T70">
        <v>116605.2</v>
      </c>
      <c r="U70">
        <v>185</v>
      </c>
      <c r="V70" t="s">
        <v>16</v>
      </c>
      <c r="W70" t="s">
        <v>23</v>
      </c>
      <c r="X70">
        <v>30366.880000000001</v>
      </c>
      <c r="Y70">
        <v>825</v>
      </c>
      <c r="Z70">
        <v>325</v>
      </c>
      <c r="AA70">
        <v>6000</v>
      </c>
      <c r="AB70" s="1">
        <v>5.0611466666666596</v>
      </c>
      <c r="AC70" t="s">
        <v>47</v>
      </c>
    </row>
    <row r="71" spans="1:29">
      <c r="A71">
        <v>130</v>
      </c>
      <c r="B71" t="s">
        <v>20</v>
      </c>
      <c r="C71" t="s">
        <v>19</v>
      </c>
      <c r="D71" t="s">
        <v>11</v>
      </c>
      <c r="E71">
        <v>220</v>
      </c>
      <c r="F71">
        <v>2019</v>
      </c>
      <c r="G71" t="s">
        <v>22</v>
      </c>
      <c r="H71">
        <v>95341.7</v>
      </c>
      <c r="I71">
        <v>0</v>
      </c>
      <c r="J71">
        <v>333</v>
      </c>
      <c r="K71">
        <v>99</v>
      </c>
      <c r="L71" t="s">
        <v>41</v>
      </c>
      <c r="M71">
        <v>63</v>
      </c>
      <c r="N71" t="s">
        <v>9</v>
      </c>
      <c r="O71" t="s">
        <v>19</v>
      </c>
      <c r="P71" t="s">
        <v>13</v>
      </c>
      <c r="Q71">
        <v>90</v>
      </c>
      <c r="R71">
        <v>2018</v>
      </c>
      <c r="S71" t="s">
        <v>14</v>
      </c>
      <c r="T71">
        <v>94621.28</v>
      </c>
      <c r="U71">
        <v>333</v>
      </c>
      <c r="V71" t="s">
        <v>16</v>
      </c>
      <c r="W71" t="s">
        <v>15</v>
      </c>
      <c r="X71">
        <v>30398.400000000001</v>
      </c>
      <c r="Y71">
        <v>975</v>
      </c>
      <c r="Z71">
        <v>350</v>
      </c>
      <c r="AA71">
        <v>7500</v>
      </c>
      <c r="AB71">
        <v>4.0531199999999998</v>
      </c>
      <c r="AC71" t="s">
        <v>49</v>
      </c>
    </row>
    <row r="72" spans="1:29">
      <c r="A72">
        <v>222</v>
      </c>
      <c r="B72" t="s">
        <v>16</v>
      </c>
      <c r="C72" t="s">
        <v>23</v>
      </c>
      <c r="D72" t="s">
        <v>13</v>
      </c>
      <c r="E72">
        <v>110</v>
      </c>
      <c r="F72">
        <v>2019</v>
      </c>
      <c r="G72" t="s">
        <v>18</v>
      </c>
      <c r="H72" s="1" t="s">
        <v>33</v>
      </c>
      <c r="I72">
        <v>0</v>
      </c>
      <c r="J72">
        <v>192</v>
      </c>
      <c r="K72">
        <v>314</v>
      </c>
      <c r="L72" t="s">
        <v>40</v>
      </c>
      <c r="M72">
        <v>72</v>
      </c>
      <c r="N72" t="s">
        <v>16</v>
      </c>
      <c r="O72" t="s">
        <v>10</v>
      </c>
      <c r="P72" t="s">
        <v>11</v>
      </c>
      <c r="Q72">
        <v>165</v>
      </c>
      <c r="R72">
        <v>2021</v>
      </c>
      <c r="S72" t="s">
        <v>14</v>
      </c>
      <c r="T72">
        <v>30674.400000000001</v>
      </c>
      <c r="U72">
        <v>192</v>
      </c>
      <c r="V72" t="s">
        <v>16</v>
      </c>
      <c r="W72" t="s">
        <v>19</v>
      </c>
      <c r="X72">
        <v>30542.84</v>
      </c>
      <c r="Y72">
        <v>950</v>
      </c>
      <c r="Z72">
        <v>200</v>
      </c>
      <c r="AA72">
        <v>9000</v>
      </c>
      <c r="AB72" s="1">
        <v>3.3936488888888801</v>
      </c>
      <c r="AC72" t="s">
        <v>49</v>
      </c>
    </row>
    <row r="73" spans="1:29">
      <c r="A73">
        <v>289</v>
      </c>
      <c r="B73" t="s">
        <v>16</v>
      </c>
      <c r="C73" t="s">
        <v>17</v>
      </c>
      <c r="D73" t="s">
        <v>13</v>
      </c>
      <c r="E73">
        <v>175</v>
      </c>
      <c r="F73">
        <v>2021</v>
      </c>
      <c r="G73" t="s">
        <v>12</v>
      </c>
      <c r="H73">
        <v>41454</v>
      </c>
      <c r="I73">
        <v>0</v>
      </c>
      <c r="J73">
        <v>247</v>
      </c>
      <c r="K73">
        <v>422</v>
      </c>
      <c r="L73" t="s">
        <v>40</v>
      </c>
      <c r="M73">
        <v>69</v>
      </c>
      <c r="N73" t="s">
        <v>9</v>
      </c>
      <c r="O73" t="s">
        <v>17</v>
      </c>
      <c r="P73" t="s">
        <v>13</v>
      </c>
      <c r="Q73">
        <v>110</v>
      </c>
      <c r="R73">
        <v>2022</v>
      </c>
      <c r="S73" t="s">
        <v>22</v>
      </c>
      <c r="T73">
        <v>109419.57</v>
      </c>
      <c r="U73">
        <v>247</v>
      </c>
      <c r="V73" t="s">
        <v>16</v>
      </c>
      <c r="W73" t="s">
        <v>23</v>
      </c>
      <c r="X73">
        <v>30556.44</v>
      </c>
      <c r="Y73">
        <v>825</v>
      </c>
      <c r="Z73">
        <v>250</v>
      </c>
      <c r="AA73">
        <v>6900</v>
      </c>
      <c r="AB73" s="1">
        <v>4.42846956521739</v>
      </c>
      <c r="AC73" t="s">
        <v>49</v>
      </c>
    </row>
    <row r="74" spans="1:29">
      <c r="A74">
        <v>122</v>
      </c>
      <c r="B74" t="s">
        <v>9</v>
      </c>
      <c r="C74" t="s">
        <v>15</v>
      </c>
      <c r="D74" t="s">
        <v>13</v>
      </c>
      <c r="E74">
        <v>185</v>
      </c>
      <c r="F74">
        <v>2019</v>
      </c>
      <c r="G74" t="s">
        <v>22</v>
      </c>
      <c r="H74">
        <v>102498</v>
      </c>
      <c r="I74">
        <v>0</v>
      </c>
      <c r="J74">
        <v>227</v>
      </c>
      <c r="K74">
        <v>336</v>
      </c>
      <c r="L74" t="s">
        <v>40</v>
      </c>
      <c r="M74">
        <v>70</v>
      </c>
      <c r="N74" t="s">
        <v>16</v>
      </c>
      <c r="O74" t="s">
        <v>19</v>
      </c>
      <c r="P74" t="s">
        <v>11</v>
      </c>
      <c r="Q74">
        <v>225</v>
      </c>
      <c r="R74">
        <v>2021</v>
      </c>
      <c r="S74" t="s">
        <v>14</v>
      </c>
      <c r="T74">
        <v>38684.400000000001</v>
      </c>
      <c r="U74">
        <v>227</v>
      </c>
      <c r="V74" t="s">
        <v>16</v>
      </c>
      <c r="W74" t="s">
        <v>10</v>
      </c>
      <c r="X74">
        <v>30646.080000000002</v>
      </c>
      <c r="Y74">
        <v>975</v>
      </c>
      <c r="Z74">
        <v>325</v>
      </c>
      <c r="AA74">
        <v>7800</v>
      </c>
      <c r="AB74" s="1">
        <v>3.9289846153846102</v>
      </c>
      <c r="AC74" t="s">
        <v>49</v>
      </c>
    </row>
    <row r="75" spans="1:29">
      <c r="A75">
        <v>455</v>
      </c>
      <c r="B75" t="s">
        <v>16</v>
      </c>
      <c r="C75" t="s">
        <v>17</v>
      </c>
      <c r="D75" t="s">
        <v>11</v>
      </c>
      <c r="E75">
        <v>145</v>
      </c>
      <c r="F75">
        <v>2022</v>
      </c>
      <c r="G75" t="s">
        <v>12</v>
      </c>
      <c r="H75">
        <v>49142.19</v>
      </c>
      <c r="I75">
        <v>0</v>
      </c>
      <c r="J75">
        <v>314</v>
      </c>
      <c r="K75">
        <v>123</v>
      </c>
      <c r="L75" t="s">
        <v>41</v>
      </c>
      <c r="M75">
        <v>64</v>
      </c>
      <c r="N75" t="s">
        <v>16</v>
      </c>
      <c r="O75" t="s">
        <v>23</v>
      </c>
      <c r="P75" t="s">
        <v>13</v>
      </c>
      <c r="Q75">
        <v>160</v>
      </c>
      <c r="R75">
        <v>2019</v>
      </c>
      <c r="S75" t="s">
        <v>14</v>
      </c>
      <c r="T75" s="1">
        <v>35134.559999999998</v>
      </c>
      <c r="U75">
        <v>314</v>
      </c>
      <c r="V75" t="s">
        <v>16</v>
      </c>
      <c r="W75" t="s">
        <v>10</v>
      </c>
      <c r="X75">
        <v>30674.400000000001</v>
      </c>
      <c r="Y75">
        <v>950</v>
      </c>
      <c r="Z75">
        <v>325</v>
      </c>
      <c r="AA75">
        <v>7500</v>
      </c>
      <c r="AB75" s="1">
        <v>4.0899199999999896</v>
      </c>
      <c r="AC75" t="s">
        <v>49</v>
      </c>
    </row>
    <row r="76" spans="1:29">
      <c r="B76" t="s">
        <v>108</v>
      </c>
      <c r="C76" t="s">
        <v>108</v>
      </c>
      <c r="L76" t="s">
        <v>107</v>
      </c>
      <c r="U76">
        <v>480</v>
      </c>
      <c r="V76" t="s">
        <v>16</v>
      </c>
      <c r="W76" t="s">
        <v>10</v>
      </c>
      <c r="X76">
        <v>30970</v>
      </c>
      <c r="Y76">
        <v>825</v>
      </c>
      <c r="Z76">
        <v>325</v>
      </c>
      <c r="AA76">
        <v>6000</v>
      </c>
      <c r="AB76" s="1">
        <v>5.16166666666666</v>
      </c>
      <c r="AC76" t="s">
        <v>47</v>
      </c>
    </row>
    <row r="77" spans="1:29">
      <c r="A77">
        <v>142</v>
      </c>
      <c r="B77" t="s">
        <v>9</v>
      </c>
      <c r="C77" t="s">
        <v>19</v>
      </c>
      <c r="D77" t="s">
        <v>13</v>
      </c>
      <c r="E77">
        <v>175</v>
      </c>
      <c r="F77">
        <v>2019</v>
      </c>
      <c r="G77" t="s">
        <v>14</v>
      </c>
      <c r="H77">
        <v>104130.16</v>
      </c>
      <c r="I77">
        <v>0</v>
      </c>
      <c r="J77">
        <v>132</v>
      </c>
      <c r="K77">
        <v>446</v>
      </c>
      <c r="L77" t="s">
        <v>40</v>
      </c>
      <c r="M77">
        <v>78</v>
      </c>
      <c r="N77" t="s">
        <v>9</v>
      </c>
      <c r="O77" t="s">
        <v>19</v>
      </c>
      <c r="P77" t="s">
        <v>11</v>
      </c>
      <c r="Q77">
        <v>145</v>
      </c>
      <c r="R77">
        <v>2022</v>
      </c>
      <c r="S77" t="s">
        <v>14</v>
      </c>
      <c r="T77">
        <v>101815.71</v>
      </c>
      <c r="U77">
        <v>132</v>
      </c>
      <c r="V77" t="s">
        <v>16</v>
      </c>
      <c r="W77" t="s">
        <v>19</v>
      </c>
      <c r="X77">
        <v>31024.080000000002</v>
      </c>
      <c r="Y77">
        <v>950</v>
      </c>
      <c r="Z77">
        <v>275</v>
      </c>
      <c r="AA77">
        <v>8100</v>
      </c>
      <c r="AB77" s="1">
        <v>3.8301333333333298</v>
      </c>
      <c r="AC77" t="s">
        <v>49</v>
      </c>
    </row>
    <row r="78" spans="1:29">
      <c r="A78">
        <v>316</v>
      </c>
      <c r="B78" t="s">
        <v>9</v>
      </c>
      <c r="C78" t="s">
        <v>10</v>
      </c>
      <c r="D78" t="s">
        <v>11</v>
      </c>
      <c r="E78">
        <v>195</v>
      </c>
      <c r="F78">
        <v>2021</v>
      </c>
      <c r="G78" t="s">
        <v>22</v>
      </c>
      <c r="H78">
        <v>121504.8</v>
      </c>
      <c r="I78">
        <v>0</v>
      </c>
      <c r="J78">
        <v>38</v>
      </c>
      <c r="K78">
        <v>41</v>
      </c>
      <c r="L78" t="s">
        <v>40</v>
      </c>
      <c r="M78">
        <v>87</v>
      </c>
      <c r="N78" t="s">
        <v>20</v>
      </c>
      <c r="O78" t="s">
        <v>23</v>
      </c>
      <c r="P78" t="s">
        <v>11</v>
      </c>
      <c r="Q78">
        <v>140</v>
      </c>
      <c r="R78">
        <v>2018</v>
      </c>
      <c r="S78" t="s">
        <v>14</v>
      </c>
      <c r="T78">
        <v>114636.9</v>
      </c>
      <c r="U78">
        <v>38</v>
      </c>
      <c r="V78" t="s">
        <v>16</v>
      </c>
      <c r="W78" t="s">
        <v>17</v>
      </c>
      <c r="X78">
        <v>31061.1</v>
      </c>
      <c r="Y78">
        <v>875</v>
      </c>
      <c r="Z78">
        <v>250</v>
      </c>
      <c r="AA78">
        <v>7500</v>
      </c>
      <c r="AB78" s="1">
        <v>4.1414799999999996</v>
      </c>
      <c r="AC78" t="s">
        <v>49</v>
      </c>
    </row>
    <row r="79" spans="1:29">
      <c r="A79">
        <v>440</v>
      </c>
      <c r="B79" t="s">
        <v>9</v>
      </c>
      <c r="C79" t="s">
        <v>17</v>
      </c>
      <c r="D79" t="s">
        <v>13</v>
      </c>
      <c r="E79">
        <v>90</v>
      </c>
      <c r="F79">
        <v>2022</v>
      </c>
      <c r="G79" t="s">
        <v>12</v>
      </c>
      <c r="H79">
        <v>129393.54</v>
      </c>
      <c r="I79">
        <v>0</v>
      </c>
      <c r="J79">
        <v>417</v>
      </c>
      <c r="K79">
        <v>474</v>
      </c>
      <c r="L79" t="s">
        <v>41</v>
      </c>
      <c r="M79">
        <v>54</v>
      </c>
      <c r="N79" t="s">
        <v>16</v>
      </c>
      <c r="O79" t="s">
        <v>17</v>
      </c>
      <c r="P79" t="s">
        <v>13</v>
      </c>
      <c r="Q79">
        <v>95</v>
      </c>
      <c r="R79">
        <v>2022</v>
      </c>
      <c r="S79" t="s">
        <v>18</v>
      </c>
      <c r="T79">
        <v>34130</v>
      </c>
      <c r="U79">
        <v>417</v>
      </c>
      <c r="V79" t="s">
        <v>16</v>
      </c>
      <c r="W79" t="s">
        <v>19</v>
      </c>
      <c r="X79">
        <v>31079.64</v>
      </c>
      <c r="Y79">
        <v>950</v>
      </c>
      <c r="Z79">
        <v>200</v>
      </c>
      <c r="AA79">
        <v>9000</v>
      </c>
      <c r="AB79" s="1">
        <v>3.4532933333333302</v>
      </c>
      <c r="AC79" t="s">
        <v>49</v>
      </c>
    </row>
    <row r="80" spans="1:29">
      <c r="A80">
        <v>453</v>
      </c>
      <c r="B80" t="s">
        <v>9</v>
      </c>
      <c r="C80" t="s">
        <v>15</v>
      </c>
      <c r="D80" t="s">
        <v>11</v>
      </c>
      <c r="E80">
        <v>135</v>
      </c>
      <c r="F80">
        <v>2022</v>
      </c>
      <c r="G80" t="s">
        <v>14</v>
      </c>
      <c r="H80">
        <v>110011.2</v>
      </c>
      <c r="I80">
        <v>0</v>
      </c>
      <c r="J80">
        <v>419</v>
      </c>
      <c r="K80">
        <v>92</v>
      </c>
      <c r="L80" t="s">
        <v>41</v>
      </c>
      <c r="M80">
        <v>53</v>
      </c>
      <c r="N80" t="s">
        <v>16</v>
      </c>
      <c r="O80" t="s">
        <v>10</v>
      </c>
      <c r="P80" t="s">
        <v>13</v>
      </c>
      <c r="Q80">
        <v>105</v>
      </c>
      <c r="R80">
        <v>2018</v>
      </c>
      <c r="S80" t="s">
        <v>22</v>
      </c>
      <c r="T80">
        <v>26047.67</v>
      </c>
      <c r="U80">
        <v>419</v>
      </c>
      <c r="V80" t="s">
        <v>16</v>
      </c>
      <c r="W80" t="s">
        <v>23</v>
      </c>
      <c r="X80">
        <v>31114.080000000002</v>
      </c>
      <c r="Y80">
        <v>825</v>
      </c>
      <c r="Z80">
        <v>225</v>
      </c>
      <c r="AA80">
        <v>7200</v>
      </c>
      <c r="AB80">
        <v>4.3213999999999997</v>
      </c>
      <c r="AC80" t="s">
        <v>49</v>
      </c>
    </row>
    <row r="81" spans="1:29">
      <c r="A81">
        <v>67</v>
      </c>
      <c r="B81" t="s">
        <v>20</v>
      </c>
      <c r="C81" t="s">
        <v>15</v>
      </c>
      <c r="D81" t="s">
        <v>11</v>
      </c>
      <c r="E81">
        <v>225</v>
      </c>
      <c r="F81">
        <v>2018</v>
      </c>
      <c r="G81" t="s">
        <v>14</v>
      </c>
      <c r="H81">
        <v>98328.88</v>
      </c>
      <c r="I81">
        <v>0</v>
      </c>
      <c r="J81">
        <v>74</v>
      </c>
      <c r="K81">
        <v>392</v>
      </c>
      <c r="L81" t="s">
        <v>40</v>
      </c>
      <c r="M81">
        <v>82</v>
      </c>
      <c r="N81" t="s">
        <v>9</v>
      </c>
      <c r="O81" t="s">
        <v>17</v>
      </c>
      <c r="P81" t="s">
        <v>11</v>
      </c>
      <c r="Q81">
        <v>195</v>
      </c>
      <c r="R81">
        <v>2021</v>
      </c>
      <c r="S81" t="s">
        <v>22</v>
      </c>
      <c r="T81">
        <v>103060.8</v>
      </c>
      <c r="U81">
        <v>74</v>
      </c>
      <c r="V81" t="s">
        <v>16</v>
      </c>
      <c r="W81" t="s">
        <v>23</v>
      </c>
      <c r="X81">
        <v>31138.639999999999</v>
      </c>
      <c r="Y81">
        <v>825</v>
      </c>
      <c r="Z81">
        <v>375</v>
      </c>
      <c r="AA81">
        <v>5400</v>
      </c>
      <c r="AB81" s="1">
        <v>5.7664148148148104</v>
      </c>
      <c r="AC81" t="s">
        <v>47</v>
      </c>
    </row>
    <row r="82" spans="1:29">
      <c r="A82">
        <v>210</v>
      </c>
      <c r="B82" t="s">
        <v>9</v>
      </c>
      <c r="C82" t="s">
        <v>23</v>
      </c>
      <c r="D82" t="s">
        <v>13</v>
      </c>
      <c r="E82">
        <v>205</v>
      </c>
      <c r="F82">
        <v>2019</v>
      </c>
      <c r="G82" t="s">
        <v>18</v>
      </c>
      <c r="H82">
        <v>117630.7</v>
      </c>
      <c r="I82">
        <v>0</v>
      </c>
      <c r="J82">
        <v>140</v>
      </c>
      <c r="K82">
        <v>64</v>
      </c>
      <c r="L82" t="s">
        <v>40</v>
      </c>
      <c r="M82">
        <v>77</v>
      </c>
      <c r="N82" t="s">
        <v>9</v>
      </c>
      <c r="O82" t="s">
        <v>10</v>
      </c>
      <c r="P82" t="s">
        <v>11</v>
      </c>
      <c r="Q82">
        <v>125</v>
      </c>
      <c r="R82">
        <v>2018</v>
      </c>
      <c r="S82" t="s">
        <v>22</v>
      </c>
      <c r="T82">
        <v>85485.92</v>
      </c>
      <c r="U82">
        <v>140</v>
      </c>
      <c r="V82" t="s">
        <v>16</v>
      </c>
      <c r="W82" t="s">
        <v>10</v>
      </c>
      <c r="X82">
        <v>31352.68</v>
      </c>
      <c r="Y82">
        <v>975</v>
      </c>
      <c r="Z82">
        <v>175</v>
      </c>
      <c r="AA82">
        <v>9600</v>
      </c>
      <c r="AB82" s="1">
        <v>3.2659041666666599</v>
      </c>
      <c r="AC82" t="s">
        <v>49</v>
      </c>
    </row>
    <row r="83" spans="1:29">
      <c r="A83">
        <v>438</v>
      </c>
      <c r="B83" t="s">
        <v>9</v>
      </c>
      <c r="C83" t="s">
        <v>15</v>
      </c>
      <c r="D83" t="s">
        <v>11</v>
      </c>
      <c r="E83">
        <v>240</v>
      </c>
      <c r="F83">
        <v>2022</v>
      </c>
      <c r="G83" t="s">
        <v>12</v>
      </c>
      <c r="H83">
        <v>108171.12</v>
      </c>
      <c r="I83">
        <v>0</v>
      </c>
      <c r="J83">
        <v>367</v>
      </c>
      <c r="K83">
        <v>199</v>
      </c>
      <c r="L83" t="s">
        <v>41</v>
      </c>
      <c r="M83">
        <v>60</v>
      </c>
      <c r="N83" t="s">
        <v>16</v>
      </c>
      <c r="O83" t="s">
        <v>17</v>
      </c>
      <c r="P83" t="s">
        <v>11</v>
      </c>
      <c r="Q83">
        <v>120</v>
      </c>
      <c r="R83">
        <v>2019</v>
      </c>
      <c r="S83" t="s">
        <v>14</v>
      </c>
      <c r="T83">
        <v>35300.120000000003</v>
      </c>
      <c r="U83">
        <v>367</v>
      </c>
      <c r="V83" t="s">
        <v>16</v>
      </c>
      <c r="W83" t="s">
        <v>23</v>
      </c>
      <c r="X83">
        <v>31366.799999999999</v>
      </c>
      <c r="Y83">
        <v>950</v>
      </c>
      <c r="Z83">
        <v>325</v>
      </c>
      <c r="AA83">
        <v>7500</v>
      </c>
      <c r="AB83">
        <v>4.1822400000000002</v>
      </c>
      <c r="AC83" t="s">
        <v>49</v>
      </c>
    </row>
    <row r="84" spans="1:29">
      <c r="A84">
        <v>445</v>
      </c>
      <c r="B84" t="s">
        <v>16</v>
      </c>
      <c r="C84" t="s">
        <v>23</v>
      </c>
      <c r="D84" t="s">
        <v>11</v>
      </c>
      <c r="E84">
        <v>210</v>
      </c>
      <c r="F84">
        <v>2022</v>
      </c>
      <c r="G84" t="s">
        <v>22</v>
      </c>
      <c r="H84">
        <v>32845.919999999998</v>
      </c>
      <c r="I84">
        <v>0</v>
      </c>
      <c r="J84">
        <v>418</v>
      </c>
      <c r="K84">
        <v>432</v>
      </c>
      <c r="L84" t="s">
        <v>41</v>
      </c>
      <c r="M84">
        <v>54</v>
      </c>
      <c r="N84" t="s">
        <v>16</v>
      </c>
      <c r="O84" t="s">
        <v>15</v>
      </c>
      <c r="P84" t="s">
        <v>13</v>
      </c>
      <c r="Q84">
        <v>110</v>
      </c>
      <c r="R84">
        <v>2022</v>
      </c>
      <c r="S84" t="s">
        <v>18</v>
      </c>
      <c r="T84">
        <v>41217.300000000003</v>
      </c>
      <c r="U84">
        <v>418</v>
      </c>
      <c r="V84" t="s">
        <v>16</v>
      </c>
      <c r="W84" t="s">
        <v>15</v>
      </c>
      <c r="X84">
        <v>31531.05</v>
      </c>
      <c r="Y84">
        <v>825</v>
      </c>
      <c r="Z84">
        <v>200</v>
      </c>
      <c r="AA84">
        <v>7500</v>
      </c>
      <c r="AB84">
        <v>4.2041399999999998</v>
      </c>
      <c r="AC84" t="s">
        <v>49</v>
      </c>
    </row>
    <row r="85" spans="1:29">
      <c r="A85">
        <v>52</v>
      </c>
      <c r="B85" t="s">
        <v>9</v>
      </c>
      <c r="C85" t="s">
        <v>15</v>
      </c>
      <c r="D85" t="s">
        <v>11</v>
      </c>
      <c r="E85">
        <v>150</v>
      </c>
      <c r="F85">
        <v>2018</v>
      </c>
      <c r="G85" t="s">
        <v>14</v>
      </c>
      <c r="H85">
        <v>105608.88</v>
      </c>
      <c r="I85">
        <v>0</v>
      </c>
      <c r="J85">
        <v>221</v>
      </c>
      <c r="K85">
        <v>285</v>
      </c>
      <c r="L85" t="s">
        <v>40</v>
      </c>
      <c r="M85">
        <v>70</v>
      </c>
      <c r="N85" t="s">
        <v>16</v>
      </c>
      <c r="O85" t="s">
        <v>19</v>
      </c>
      <c r="P85" t="s">
        <v>11</v>
      </c>
      <c r="Q85">
        <v>215</v>
      </c>
      <c r="R85">
        <v>2021</v>
      </c>
      <c r="S85" t="s">
        <v>18</v>
      </c>
      <c r="T85" s="1">
        <v>30799.179999999898</v>
      </c>
      <c r="U85">
        <v>221</v>
      </c>
      <c r="V85" t="s">
        <v>16</v>
      </c>
      <c r="W85" t="s">
        <v>15</v>
      </c>
      <c r="X85">
        <v>31720.68</v>
      </c>
      <c r="Y85">
        <v>950</v>
      </c>
      <c r="Z85">
        <v>275</v>
      </c>
      <c r="AA85">
        <v>8100</v>
      </c>
      <c r="AB85" s="1">
        <v>3.9161333333333301</v>
      </c>
      <c r="AC85" t="s">
        <v>49</v>
      </c>
    </row>
    <row r="86" spans="1:29">
      <c r="A86">
        <v>26</v>
      </c>
      <c r="B86" t="s">
        <v>9</v>
      </c>
      <c r="C86" t="s">
        <v>17</v>
      </c>
      <c r="D86" t="s">
        <v>11</v>
      </c>
      <c r="E86">
        <v>190</v>
      </c>
      <c r="F86">
        <v>2017</v>
      </c>
      <c r="G86" t="s">
        <v>12</v>
      </c>
      <c r="H86">
        <v>105910</v>
      </c>
      <c r="I86">
        <v>0</v>
      </c>
      <c r="J86">
        <v>219</v>
      </c>
      <c r="K86">
        <v>288</v>
      </c>
      <c r="L86" t="s">
        <v>40</v>
      </c>
      <c r="M86">
        <v>70</v>
      </c>
      <c r="N86" t="s">
        <v>16</v>
      </c>
      <c r="O86" t="s">
        <v>17</v>
      </c>
      <c r="P86" t="s">
        <v>11</v>
      </c>
      <c r="Q86">
        <v>215</v>
      </c>
      <c r="R86">
        <v>2021</v>
      </c>
      <c r="S86" t="s">
        <v>14</v>
      </c>
      <c r="T86">
        <v>25816.799999999999</v>
      </c>
      <c r="U86">
        <v>219</v>
      </c>
      <c r="V86" t="s">
        <v>16</v>
      </c>
      <c r="W86" t="s">
        <v>23</v>
      </c>
      <c r="X86">
        <v>31851.94</v>
      </c>
      <c r="Y86">
        <v>825</v>
      </c>
      <c r="Z86">
        <v>175</v>
      </c>
      <c r="AA86">
        <v>7800</v>
      </c>
      <c r="AB86" s="1">
        <v>4.0835820512820504</v>
      </c>
      <c r="AC86" t="s">
        <v>49</v>
      </c>
    </row>
    <row r="87" spans="1:29">
      <c r="A87">
        <v>245</v>
      </c>
      <c r="B87" t="s">
        <v>16</v>
      </c>
      <c r="C87" t="s">
        <v>23</v>
      </c>
      <c r="D87" t="s">
        <v>13</v>
      </c>
      <c r="E87">
        <v>175</v>
      </c>
      <c r="F87">
        <v>2019</v>
      </c>
      <c r="G87" t="s">
        <v>22</v>
      </c>
      <c r="H87">
        <v>27254.880000000001</v>
      </c>
      <c r="I87">
        <v>0</v>
      </c>
      <c r="J87">
        <v>195</v>
      </c>
      <c r="K87">
        <v>458</v>
      </c>
      <c r="L87" t="s">
        <v>40</v>
      </c>
      <c r="M87">
        <v>72</v>
      </c>
      <c r="N87" t="s">
        <v>16</v>
      </c>
      <c r="O87" t="s">
        <v>10</v>
      </c>
      <c r="P87" t="s">
        <v>11</v>
      </c>
      <c r="Q87">
        <v>180</v>
      </c>
      <c r="R87">
        <v>2022</v>
      </c>
      <c r="S87" t="s">
        <v>22</v>
      </c>
      <c r="T87">
        <v>34838.519999999997</v>
      </c>
      <c r="U87">
        <v>195</v>
      </c>
      <c r="V87" t="s">
        <v>16</v>
      </c>
      <c r="W87" t="s">
        <v>17</v>
      </c>
      <c r="X87">
        <v>32039.279999999999</v>
      </c>
      <c r="Y87">
        <v>875</v>
      </c>
      <c r="Z87">
        <v>375</v>
      </c>
      <c r="AA87">
        <v>6000</v>
      </c>
      <c r="AB87" s="1">
        <v>5.33988</v>
      </c>
      <c r="AC87" t="s">
        <v>47</v>
      </c>
    </row>
    <row r="88" spans="1:29">
      <c r="B88" t="s">
        <v>108</v>
      </c>
      <c r="C88" t="s">
        <v>108</v>
      </c>
      <c r="L88" t="s">
        <v>107</v>
      </c>
      <c r="U88">
        <v>483</v>
      </c>
      <c r="V88" t="s">
        <v>16</v>
      </c>
      <c r="W88" t="s">
        <v>17</v>
      </c>
      <c r="X88">
        <v>32045</v>
      </c>
      <c r="Y88">
        <v>950</v>
      </c>
      <c r="Z88">
        <v>275</v>
      </c>
      <c r="AA88">
        <v>8100</v>
      </c>
      <c r="AB88" s="1">
        <v>3.9561728395061699</v>
      </c>
      <c r="AC88" t="s">
        <v>49</v>
      </c>
    </row>
    <row r="89" spans="1:29">
      <c r="A89">
        <v>330</v>
      </c>
      <c r="B89" t="s">
        <v>9</v>
      </c>
      <c r="C89" t="s">
        <v>15</v>
      </c>
      <c r="D89" t="s">
        <v>11</v>
      </c>
      <c r="E89">
        <v>125</v>
      </c>
      <c r="F89">
        <v>2021</v>
      </c>
      <c r="G89" t="s">
        <v>22</v>
      </c>
      <c r="H89">
        <v>131312.4</v>
      </c>
      <c r="I89">
        <v>0</v>
      </c>
      <c r="J89">
        <v>253</v>
      </c>
      <c r="K89">
        <v>430</v>
      </c>
      <c r="L89" t="s">
        <v>40</v>
      </c>
      <c r="M89">
        <v>68</v>
      </c>
      <c r="N89" t="s">
        <v>16</v>
      </c>
      <c r="O89" t="s">
        <v>23</v>
      </c>
      <c r="P89" t="s">
        <v>11</v>
      </c>
      <c r="Q89">
        <v>140</v>
      </c>
      <c r="R89">
        <v>2022</v>
      </c>
      <c r="S89" t="s">
        <v>14</v>
      </c>
      <c r="T89">
        <v>43512.480000000003</v>
      </c>
      <c r="U89">
        <v>253</v>
      </c>
      <c r="V89" t="s">
        <v>16</v>
      </c>
      <c r="W89" t="s">
        <v>17</v>
      </c>
      <c r="X89">
        <v>32231.42</v>
      </c>
      <c r="Y89">
        <v>825</v>
      </c>
      <c r="Z89">
        <v>150</v>
      </c>
      <c r="AA89">
        <v>8100</v>
      </c>
      <c r="AB89" s="1">
        <v>3.9791876543209801</v>
      </c>
      <c r="AC89" t="s">
        <v>49</v>
      </c>
    </row>
    <row r="90" spans="1:29">
      <c r="B90" t="s">
        <v>108</v>
      </c>
      <c r="C90" t="s">
        <v>108</v>
      </c>
      <c r="L90" t="s">
        <v>107</v>
      </c>
      <c r="U90">
        <v>443</v>
      </c>
      <c r="V90" t="s">
        <v>16</v>
      </c>
      <c r="W90" t="s">
        <v>17</v>
      </c>
      <c r="X90">
        <v>32262.9</v>
      </c>
      <c r="Y90">
        <v>975</v>
      </c>
      <c r="Z90">
        <v>225</v>
      </c>
      <c r="AA90">
        <v>9000</v>
      </c>
      <c r="AB90" s="1">
        <v>3.5847666666666602</v>
      </c>
      <c r="AC90" t="s">
        <v>49</v>
      </c>
    </row>
    <row r="91" spans="1:29">
      <c r="B91" t="s">
        <v>108</v>
      </c>
      <c r="C91" t="s">
        <v>108</v>
      </c>
      <c r="L91" t="s">
        <v>107</v>
      </c>
      <c r="U91">
        <v>473</v>
      </c>
      <c r="V91" t="s">
        <v>16</v>
      </c>
      <c r="W91" t="s">
        <v>17</v>
      </c>
      <c r="X91">
        <v>32447.5</v>
      </c>
      <c r="Y91">
        <v>825</v>
      </c>
      <c r="Z91">
        <v>300</v>
      </c>
      <c r="AA91">
        <v>6300</v>
      </c>
      <c r="AB91" s="1">
        <v>5.15039682539682</v>
      </c>
      <c r="AC91" t="s">
        <v>47</v>
      </c>
    </row>
    <row r="92" spans="1:29">
      <c r="B92" t="s">
        <v>108</v>
      </c>
      <c r="C92" t="s">
        <v>108</v>
      </c>
      <c r="L92" t="s">
        <v>107</v>
      </c>
      <c r="U92">
        <v>482</v>
      </c>
      <c r="V92" t="s">
        <v>16</v>
      </c>
      <c r="W92" t="s">
        <v>17</v>
      </c>
      <c r="X92">
        <v>32543.75</v>
      </c>
      <c r="Y92">
        <v>875</v>
      </c>
      <c r="Z92">
        <v>250</v>
      </c>
      <c r="AA92">
        <v>7500</v>
      </c>
      <c r="AB92" s="1">
        <v>4.3391666666666602</v>
      </c>
      <c r="AC92" t="s">
        <v>49</v>
      </c>
    </row>
    <row r="93" spans="1:29">
      <c r="A93">
        <v>151</v>
      </c>
      <c r="B93" t="s">
        <v>9</v>
      </c>
      <c r="C93" t="s">
        <v>17</v>
      </c>
      <c r="D93" t="s">
        <v>13</v>
      </c>
      <c r="E93">
        <v>100</v>
      </c>
      <c r="F93">
        <v>2019</v>
      </c>
      <c r="G93" t="s">
        <v>12</v>
      </c>
      <c r="H93">
        <v>98223.84</v>
      </c>
      <c r="I93">
        <v>0</v>
      </c>
      <c r="J93">
        <v>182</v>
      </c>
      <c r="K93">
        <v>434</v>
      </c>
      <c r="L93" t="s">
        <v>40</v>
      </c>
      <c r="M93">
        <v>73</v>
      </c>
      <c r="N93" t="s">
        <v>9</v>
      </c>
      <c r="O93" t="s">
        <v>15</v>
      </c>
      <c r="P93" t="s">
        <v>13</v>
      </c>
      <c r="Q93">
        <v>120</v>
      </c>
      <c r="R93">
        <v>2022</v>
      </c>
      <c r="S93" t="s">
        <v>14</v>
      </c>
      <c r="T93">
        <v>104253.57</v>
      </c>
      <c r="U93">
        <v>182</v>
      </c>
      <c r="V93" t="s">
        <v>16</v>
      </c>
      <c r="W93" t="s">
        <v>19</v>
      </c>
      <c r="X93">
        <v>32636.34</v>
      </c>
      <c r="Y93">
        <v>825</v>
      </c>
      <c r="Z93">
        <v>350</v>
      </c>
      <c r="AA93">
        <v>5700</v>
      </c>
      <c r="AB93" s="1">
        <v>5.7256736842105198</v>
      </c>
      <c r="AC93" t="s">
        <v>47</v>
      </c>
    </row>
    <row r="94" spans="1:29">
      <c r="A94">
        <v>374</v>
      </c>
      <c r="B94" t="s">
        <v>16</v>
      </c>
      <c r="C94" t="s">
        <v>17</v>
      </c>
      <c r="D94" t="s">
        <v>13</v>
      </c>
      <c r="E94">
        <v>175</v>
      </c>
      <c r="F94">
        <v>2021</v>
      </c>
      <c r="G94" t="s">
        <v>22</v>
      </c>
      <c r="H94" s="1">
        <v>35860.799999999901</v>
      </c>
      <c r="I94">
        <v>0</v>
      </c>
      <c r="J94">
        <v>257</v>
      </c>
      <c r="K94">
        <v>278</v>
      </c>
      <c r="L94" t="s">
        <v>40</v>
      </c>
      <c r="M94">
        <v>67</v>
      </c>
      <c r="N94" t="s">
        <v>16</v>
      </c>
      <c r="O94" t="s">
        <v>15</v>
      </c>
      <c r="P94" t="s">
        <v>11</v>
      </c>
      <c r="Q94">
        <v>185</v>
      </c>
      <c r="R94">
        <v>2021</v>
      </c>
      <c r="S94" t="s">
        <v>18</v>
      </c>
      <c r="T94">
        <v>23819.48</v>
      </c>
      <c r="U94">
        <v>257</v>
      </c>
      <c r="V94" t="s">
        <v>16</v>
      </c>
      <c r="W94" t="s">
        <v>17</v>
      </c>
      <c r="X94">
        <v>32822.5</v>
      </c>
      <c r="Y94">
        <v>875</v>
      </c>
      <c r="Z94">
        <v>175</v>
      </c>
      <c r="AA94">
        <v>8400</v>
      </c>
      <c r="AB94" s="1">
        <v>3.90744047619047</v>
      </c>
      <c r="AC94" t="s">
        <v>49</v>
      </c>
    </row>
    <row r="95" spans="1:29">
      <c r="A95">
        <v>237</v>
      </c>
      <c r="B95" t="s">
        <v>16</v>
      </c>
      <c r="C95" t="s">
        <v>19</v>
      </c>
      <c r="D95" t="s">
        <v>11</v>
      </c>
      <c r="E95">
        <v>220</v>
      </c>
      <c r="F95">
        <v>2019</v>
      </c>
      <c r="G95" t="s">
        <v>14</v>
      </c>
      <c r="H95" s="1">
        <v>42262.559999999998</v>
      </c>
      <c r="I95">
        <v>0</v>
      </c>
      <c r="J95">
        <v>27</v>
      </c>
      <c r="K95">
        <v>4</v>
      </c>
      <c r="L95" t="s">
        <v>40</v>
      </c>
      <c r="M95">
        <v>89</v>
      </c>
      <c r="N95" t="s">
        <v>20</v>
      </c>
      <c r="O95" t="s">
        <v>15</v>
      </c>
      <c r="P95" t="s">
        <v>11</v>
      </c>
      <c r="Q95">
        <v>200</v>
      </c>
      <c r="R95">
        <v>2017</v>
      </c>
      <c r="S95" t="s">
        <v>22</v>
      </c>
      <c r="T95">
        <v>105980</v>
      </c>
      <c r="U95">
        <v>27</v>
      </c>
      <c r="V95" t="s">
        <v>16</v>
      </c>
      <c r="W95" t="s">
        <v>10</v>
      </c>
      <c r="X95">
        <v>32826</v>
      </c>
      <c r="Y95">
        <v>950</v>
      </c>
      <c r="Z95">
        <v>225</v>
      </c>
      <c r="AA95">
        <v>8700</v>
      </c>
      <c r="AB95" s="1">
        <v>3.7731034482758599</v>
      </c>
      <c r="AC95" t="s">
        <v>49</v>
      </c>
    </row>
    <row r="96" spans="1:29">
      <c r="B96" t="s">
        <v>108</v>
      </c>
      <c r="C96" t="s">
        <v>108</v>
      </c>
      <c r="L96" t="s">
        <v>107</v>
      </c>
      <c r="U96">
        <v>445</v>
      </c>
      <c r="V96" t="s">
        <v>16</v>
      </c>
      <c r="W96" t="s">
        <v>23</v>
      </c>
      <c r="X96">
        <v>32845.919999999998</v>
      </c>
      <c r="Y96">
        <v>975</v>
      </c>
      <c r="Z96">
        <v>175</v>
      </c>
      <c r="AA96">
        <v>9600</v>
      </c>
      <c r="AB96" s="1">
        <v>3.4214499999999899</v>
      </c>
      <c r="AC96" t="s">
        <v>49</v>
      </c>
    </row>
    <row r="97" spans="1:29">
      <c r="A97">
        <v>409</v>
      </c>
      <c r="B97" t="s">
        <v>16</v>
      </c>
      <c r="C97" t="s">
        <v>17</v>
      </c>
      <c r="D97" t="s">
        <v>11</v>
      </c>
      <c r="E97">
        <v>185</v>
      </c>
      <c r="F97">
        <v>2022</v>
      </c>
      <c r="G97" t="s">
        <v>18</v>
      </c>
      <c r="H97">
        <v>37256.699999999997</v>
      </c>
      <c r="I97">
        <v>0</v>
      </c>
      <c r="J97">
        <v>107</v>
      </c>
      <c r="K97">
        <v>158</v>
      </c>
      <c r="L97" t="s">
        <v>40</v>
      </c>
      <c r="M97">
        <v>79</v>
      </c>
      <c r="N97" t="s">
        <v>9</v>
      </c>
      <c r="O97" t="s">
        <v>15</v>
      </c>
      <c r="P97" t="s">
        <v>11</v>
      </c>
      <c r="Q97">
        <v>195</v>
      </c>
      <c r="R97">
        <v>2019</v>
      </c>
      <c r="S97" t="s">
        <v>18</v>
      </c>
      <c r="T97" s="1">
        <v>87548.04</v>
      </c>
      <c r="U97">
        <v>107</v>
      </c>
      <c r="V97" t="s">
        <v>16</v>
      </c>
      <c r="W97" t="s">
        <v>23</v>
      </c>
      <c r="X97">
        <v>32906.639999999999</v>
      </c>
      <c r="Y97">
        <v>875</v>
      </c>
      <c r="Z97">
        <v>275</v>
      </c>
      <c r="AA97">
        <v>7200</v>
      </c>
      <c r="AB97" s="1">
        <v>4.5703666666666596</v>
      </c>
      <c r="AC97" t="s">
        <v>49</v>
      </c>
    </row>
    <row r="98" spans="1:29">
      <c r="B98" t="s">
        <v>108</v>
      </c>
      <c r="C98" t="s">
        <v>108</v>
      </c>
      <c r="L98" t="s">
        <v>107</v>
      </c>
      <c r="U98">
        <v>466</v>
      </c>
      <c r="V98" t="s">
        <v>16</v>
      </c>
      <c r="W98" t="s">
        <v>17</v>
      </c>
      <c r="X98">
        <v>32921.25</v>
      </c>
      <c r="Y98">
        <v>975</v>
      </c>
      <c r="Z98">
        <v>375</v>
      </c>
      <c r="AA98">
        <v>7200</v>
      </c>
      <c r="AB98" s="1">
        <v>4.5723958333333297</v>
      </c>
      <c r="AC98" t="s">
        <v>49</v>
      </c>
    </row>
    <row r="99" spans="1:29">
      <c r="A99">
        <v>382</v>
      </c>
      <c r="B99" t="s">
        <v>16</v>
      </c>
      <c r="C99" t="s">
        <v>17</v>
      </c>
      <c r="D99" t="s">
        <v>11</v>
      </c>
      <c r="E99">
        <v>140</v>
      </c>
      <c r="F99">
        <v>2021</v>
      </c>
      <c r="G99" t="s">
        <v>12</v>
      </c>
      <c r="H99">
        <v>37566</v>
      </c>
      <c r="I99">
        <v>0</v>
      </c>
      <c r="J99">
        <v>105</v>
      </c>
      <c r="K99">
        <v>40</v>
      </c>
      <c r="L99" t="s">
        <v>40</v>
      </c>
      <c r="M99">
        <v>79</v>
      </c>
      <c r="N99" t="s">
        <v>9</v>
      </c>
      <c r="O99" t="s">
        <v>15</v>
      </c>
      <c r="P99" t="s">
        <v>11</v>
      </c>
      <c r="Q99">
        <v>210</v>
      </c>
      <c r="R99">
        <v>2018</v>
      </c>
      <c r="S99" t="s">
        <v>12</v>
      </c>
      <c r="T99">
        <v>85397.52</v>
      </c>
      <c r="U99">
        <v>105</v>
      </c>
      <c r="V99" t="s">
        <v>16</v>
      </c>
      <c r="W99" t="s">
        <v>17</v>
      </c>
      <c r="X99">
        <v>33072.9</v>
      </c>
      <c r="Y99">
        <v>825</v>
      </c>
      <c r="AA99">
        <v>9900</v>
      </c>
      <c r="AB99" s="1">
        <v>3.34069696969696</v>
      </c>
      <c r="AC99" t="s">
        <v>49</v>
      </c>
    </row>
    <row r="100" spans="1:29">
      <c r="A100">
        <v>277</v>
      </c>
      <c r="B100" t="s">
        <v>9</v>
      </c>
      <c r="C100" t="s">
        <v>15</v>
      </c>
      <c r="D100" t="s">
        <v>11</v>
      </c>
      <c r="E100">
        <v>180</v>
      </c>
      <c r="F100">
        <v>2021</v>
      </c>
      <c r="G100" t="s">
        <v>22</v>
      </c>
      <c r="H100">
        <v>108067.94</v>
      </c>
      <c r="I100">
        <v>0</v>
      </c>
      <c r="J100">
        <v>33</v>
      </c>
      <c r="K100">
        <v>176</v>
      </c>
      <c r="L100" t="s">
        <v>40</v>
      </c>
      <c r="M100">
        <v>87</v>
      </c>
      <c r="N100" t="s">
        <v>9</v>
      </c>
      <c r="O100" t="s">
        <v>10</v>
      </c>
      <c r="P100" t="s">
        <v>11</v>
      </c>
      <c r="Q100">
        <v>210</v>
      </c>
      <c r="R100">
        <v>2019</v>
      </c>
      <c r="S100" t="s">
        <v>22</v>
      </c>
      <c r="T100">
        <v>95966.04</v>
      </c>
      <c r="U100">
        <v>33</v>
      </c>
      <c r="V100" t="s">
        <v>16</v>
      </c>
      <c r="W100" t="s">
        <v>19</v>
      </c>
      <c r="X100">
        <v>33341</v>
      </c>
      <c r="Y100">
        <v>975</v>
      </c>
      <c r="Z100">
        <v>325</v>
      </c>
      <c r="AA100">
        <v>7800</v>
      </c>
      <c r="AB100" s="1">
        <v>4.2744871794871697</v>
      </c>
      <c r="AC100" t="s">
        <v>49</v>
      </c>
    </row>
    <row r="101" spans="1:29">
      <c r="A101">
        <v>381</v>
      </c>
      <c r="B101" t="s">
        <v>16</v>
      </c>
      <c r="C101" t="s">
        <v>19</v>
      </c>
      <c r="D101" t="s">
        <v>11</v>
      </c>
      <c r="E101">
        <v>225</v>
      </c>
      <c r="F101">
        <v>2021</v>
      </c>
      <c r="G101" t="s">
        <v>12</v>
      </c>
      <c r="H101">
        <v>46520.4</v>
      </c>
      <c r="I101">
        <v>0</v>
      </c>
      <c r="J101">
        <v>49</v>
      </c>
      <c r="K101">
        <v>438</v>
      </c>
      <c r="L101" t="s">
        <v>40</v>
      </c>
      <c r="M101">
        <v>85</v>
      </c>
      <c r="N101" t="s">
        <v>9</v>
      </c>
      <c r="O101" t="s">
        <v>15</v>
      </c>
      <c r="P101" t="s">
        <v>11</v>
      </c>
      <c r="Q101">
        <v>240</v>
      </c>
      <c r="R101">
        <v>2022</v>
      </c>
      <c r="S101" t="s">
        <v>12</v>
      </c>
      <c r="T101">
        <v>108171.12</v>
      </c>
      <c r="U101">
        <v>49</v>
      </c>
      <c r="V101" t="s">
        <v>16</v>
      </c>
      <c r="W101" t="s">
        <v>10</v>
      </c>
      <c r="X101">
        <v>33360.6</v>
      </c>
      <c r="Y101">
        <v>950</v>
      </c>
      <c r="Z101">
        <v>325</v>
      </c>
      <c r="AA101">
        <v>7500</v>
      </c>
      <c r="AB101">
        <v>4.44808</v>
      </c>
      <c r="AC101" t="s">
        <v>49</v>
      </c>
    </row>
    <row r="102" spans="1:29">
      <c r="A102">
        <v>391</v>
      </c>
      <c r="B102" t="s">
        <v>16</v>
      </c>
      <c r="C102" t="s">
        <v>19</v>
      </c>
      <c r="D102" t="s">
        <v>13</v>
      </c>
      <c r="E102">
        <v>120</v>
      </c>
      <c r="F102">
        <v>2021</v>
      </c>
      <c r="G102" t="s">
        <v>12</v>
      </c>
      <c r="H102">
        <v>29400</v>
      </c>
      <c r="I102">
        <v>0</v>
      </c>
      <c r="J102">
        <v>414</v>
      </c>
      <c r="K102">
        <v>417</v>
      </c>
      <c r="L102" t="s">
        <v>41</v>
      </c>
      <c r="M102">
        <v>54</v>
      </c>
      <c r="N102" t="s">
        <v>16</v>
      </c>
      <c r="O102" t="s">
        <v>19</v>
      </c>
      <c r="P102" t="s">
        <v>13</v>
      </c>
      <c r="Q102">
        <v>90</v>
      </c>
      <c r="R102">
        <v>2022</v>
      </c>
      <c r="S102" t="s">
        <v>14</v>
      </c>
      <c r="T102">
        <v>31079.64</v>
      </c>
      <c r="U102">
        <v>414</v>
      </c>
      <c r="V102" t="s">
        <v>16</v>
      </c>
      <c r="W102" t="s">
        <v>17</v>
      </c>
      <c r="X102">
        <v>33428.94</v>
      </c>
      <c r="Y102">
        <v>950</v>
      </c>
      <c r="Z102">
        <v>350</v>
      </c>
      <c r="AA102">
        <v>7200</v>
      </c>
      <c r="AB102" s="1">
        <v>4.6429083333333301</v>
      </c>
      <c r="AC102" t="s">
        <v>49</v>
      </c>
    </row>
    <row r="103" spans="1:29">
      <c r="A103">
        <v>80</v>
      </c>
      <c r="B103" t="s">
        <v>16</v>
      </c>
      <c r="C103" t="s">
        <v>19</v>
      </c>
      <c r="D103" t="s">
        <v>11</v>
      </c>
      <c r="E103">
        <v>170</v>
      </c>
      <c r="F103">
        <v>2018</v>
      </c>
      <c r="G103" t="s">
        <v>12</v>
      </c>
      <c r="H103">
        <v>40431.300000000003</v>
      </c>
      <c r="I103">
        <v>0</v>
      </c>
      <c r="J103">
        <v>377</v>
      </c>
      <c r="K103">
        <v>467</v>
      </c>
      <c r="L103" t="s">
        <v>41</v>
      </c>
      <c r="M103">
        <v>59</v>
      </c>
      <c r="N103" t="s">
        <v>16</v>
      </c>
      <c r="O103" t="s">
        <v>23</v>
      </c>
      <c r="P103" t="s">
        <v>13</v>
      </c>
      <c r="Q103">
        <v>95</v>
      </c>
      <c r="R103">
        <v>2022</v>
      </c>
      <c r="S103" t="s">
        <v>12</v>
      </c>
      <c r="T103">
        <v>47280</v>
      </c>
      <c r="U103">
        <v>377</v>
      </c>
      <c r="V103" t="s">
        <v>16</v>
      </c>
      <c r="W103" t="s">
        <v>17</v>
      </c>
      <c r="X103">
        <v>33474</v>
      </c>
      <c r="Y103">
        <v>975</v>
      </c>
      <c r="Z103">
        <v>300</v>
      </c>
      <c r="AA103">
        <v>8100</v>
      </c>
      <c r="AB103" s="1">
        <v>4.1325925925925899</v>
      </c>
      <c r="AC103" t="s">
        <v>49</v>
      </c>
    </row>
    <row r="104" spans="1:29">
      <c r="A104">
        <v>253</v>
      </c>
      <c r="B104" t="s">
        <v>16</v>
      </c>
      <c r="C104" t="s">
        <v>17</v>
      </c>
      <c r="D104" t="s">
        <v>11</v>
      </c>
      <c r="E104">
        <v>155</v>
      </c>
      <c r="F104">
        <v>2019</v>
      </c>
      <c r="G104" t="s">
        <v>18</v>
      </c>
      <c r="H104">
        <v>32231.42</v>
      </c>
      <c r="I104">
        <v>0</v>
      </c>
      <c r="J104">
        <v>343</v>
      </c>
      <c r="K104">
        <v>374</v>
      </c>
      <c r="L104" t="s">
        <v>41</v>
      </c>
      <c r="M104">
        <v>62</v>
      </c>
      <c r="N104" t="s">
        <v>16</v>
      </c>
      <c r="O104" t="s">
        <v>17</v>
      </c>
      <c r="P104" t="s">
        <v>13</v>
      </c>
      <c r="Q104">
        <v>175</v>
      </c>
      <c r="R104">
        <v>2021</v>
      </c>
      <c r="S104" t="s">
        <v>22</v>
      </c>
      <c r="T104" s="1">
        <v>35860.799999999901</v>
      </c>
      <c r="U104">
        <v>343</v>
      </c>
      <c r="V104" t="s">
        <v>16</v>
      </c>
      <c r="W104" t="s">
        <v>15</v>
      </c>
      <c r="X104">
        <v>33500.400000000001</v>
      </c>
      <c r="Y104">
        <v>875</v>
      </c>
      <c r="Z104">
        <v>150</v>
      </c>
      <c r="AA104">
        <v>8700</v>
      </c>
      <c r="AB104" s="1">
        <v>3.85062068965517</v>
      </c>
      <c r="AC104" t="s">
        <v>49</v>
      </c>
    </row>
    <row r="105" spans="1:29">
      <c r="A105">
        <v>487</v>
      </c>
      <c r="B105" t="s">
        <v>9</v>
      </c>
      <c r="C105" t="s">
        <v>15</v>
      </c>
      <c r="D105" t="s">
        <v>11</v>
      </c>
      <c r="E105">
        <v>135</v>
      </c>
      <c r="F105">
        <v>2022</v>
      </c>
      <c r="G105" t="s">
        <v>12</v>
      </c>
      <c r="H105">
        <v>133226.25</v>
      </c>
      <c r="I105">
        <v>0</v>
      </c>
      <c r="J105">
        <v>370</v>
      </c>
      <c r="K105">
        <v>321</v>
      </c>
      <c r="L105" t="s">
        <v>41</v>
      </c>
      <c r="M105">
        <v>59</v>
      </c>
      <c r="N105" t="s">
        <v>16</v>
      </c>
      <c r="O105" t="s">
        <v>15</v>
      </c>
      <c r="P105" t="s">
        <v>11</v>
      </c>
      <c r="Q105">
        <v>110</v>
      </c>
      <c r="R105">
        <v>2021</v>
      </c>
      <c r="S105" t="s">
        <v>14</v>
      </c>
      <c r="T105">
        <v>30102</v>
      </c>
      <c r="U105">
        <v>370</v>
      </c>
      <c r="V105" t="s">
        <v>16</v>
      </c>
      <c r="W105" t="s">
        <v>19</v>
      </c>
      <c r="X105">
        <v>33554.400000000001</v>
      </c>
      <c r="Y105">
        <v>825</v>
      </c>
      <c r="Z105">
        <v>350</v>
      </c>
      <c r="AA105">
        <v>5700</v>
      </c>
      <c r="AB105" s="1">
        <v>5.8867368421052602</v>
      </c>
      <c r="AC105" t="s">
        <v>47</v>
      </c>
    </row>
    <row r="106" spans="1:29">
      <c r="A106">
        <v>254</v>
      </c>
      <c r="B106" t="s">
        <v>16</v>
      </c>
      <c r="C106" t="s">
        <v>23</v>
      </c>
      <c r="D106" t="s">
        <v>11</v>
      </c>
      <c r="E106">
        <v>105</v>
      </c>
      <c r="F106">
        <v>2019</v>
      </c>
      <c r="G106" t="s">
        <v>14</v>
      </c>
      <c r="H106">
        <v>29835.82</v>
      </c>
      <c r="I106">
        <v>0</v>
      </c>
      <c r="J106">
        <v>402</v>
      </c>
      <c r="K106">
        <v>68</v>
      </c>
      <c r="L106" t="s">
        <v>41</v>
      </c>
      <c r="M106">
        <v>56</v>
      </c>
      <c r="N106" t="s">
        <v>16</v>
      </c>
      <c r="O106" t="s">
        <v>17</v>
      </c>
      <c r="P106" t="s">
        <v>13</v>
      </c>
      <c r="Q106">
        <v>195</v>
      </c>
      <c r="R106">
        <v>2018</v>
      </c>
      <c r="S106" t="s">
        <v>18</v>
      </c>
      <c r="T106">
        <v>37968.32</v>
      </c>
      <c r="U106">
        <v>402</v>
      </c>
      <c r="V106" t="s">
        <v>16</v>
      </c>
      <c r="W106" t="s">
        <v>19</v>
      </c>
      <c r="X106">
        <v>33697.199999999997</v>
      </c>
      <c r="Y106">
        <v>825</v>
      </c>
      <c r="Z106">
        <v>325</v>
      </c>
      <c r="AA106">
        <v>6000</v>
      </c>
      <c r="AB106" s="1">
        <v>5.6161999999999903</v>
      </c>
      <c r="AC106" t="s">
        <v>47</v>
      </c>
    </row>
    <row r="107" spans="1:29">
      <c r="A107">
        <v>499</v>
      </c>
      <c r="B107" t="s">
        <v>16</v>
      </c>
      <c r="C107" t="s">
        <v>23</v>
      </c>
      <c r="D107" t="s">
        <v>11</v>
      </c>
      <c r="E107">
        <v>105</v>
      </c>
      <c r="F107">
        <v>2022</v>
      </c>
      <c r="G107" t="s">
        <v>18</v>
      </c>
      <c r="H107">
        <v>42772.5</v>
      </c>
      <c r="I107">
        <v>0</v>
      </c>
      <c r="J107">
        <v>326</v>
      </c>
      <c r="K107">
        <v>371</v>
      </c>
      <c r="L107" t="s">
        <v>41</v>
      </c>
      <c r="M107">
        <v>63</v>
      </c>
      <c r="N107" t="s">
        <v>16</v>
      </c>
      <c r="O107" t="s">
        <v>23</v>
      </c>
      <c r="P107" t="s">
        <v>13</v>
      </c>
      <c r="Q107">
        <v>135</v>
      </c>
      <c r="R107">
        <v>2021</v>
      </c>
      <c r="S107" t="s">
        <v>18</v>
      </c>
      <c r="T107" s="1">
        <v>35968.799999999901</v>
      </c>
      <c r="U107">
        <v>326</v>
      </c>
      <c r="V107" t="s">
        <v>16</v>
      </c>
      <c r="W107" t="s">
        <v>19</v>
      </c>
      <c r="X107">
        <v>33807.599999999999</v>
      </c>
      <c r="Y107">
        <v>875</v>
      </c>
      <c r="Z107">
        <v>350</v>
      </c>
      <c r="AA107">
        <v>6300</v>
      </c>
      <c r="AB107" s="1">
        <v>5.3662857142857101</v>
      </c>
      <c r="AC107" t="s">
        <v>47</v>
      </c>
    </row>
    <row r="108" spans="1:29">
      <c r="A108">
        <v>432</v>
      </c>
      <c r="B108" t="s">
        <v>16</v>
      </c>
      <c r="C108" t="s">
        <v>15</v>
      </c>
      <c r="D108" t="s">
        <v>13</v>
      </c>
      <c r="E108">
        <v>110</v>
      </c>
      <c r="F108">
        <v>2022</v>
      </c>
      <c r="G108" t="s">
        <v>18</v>
      </c>
      <c r="H108">
        <v>41217.300000000003</v>
      </c>
      <c r="I108">
        <v>0</v>
      </c>
      <c r="J108">
        <v>365</v>
      </c>
      <c r="K108">
        <v>221</v>
      </c>
      <c r="L108" t="s">
        <v>41</v>
      </c>
      <c r="M108">
        <v>60</v>
      </c>
      <c r="N108" t="s">
        <v>16</v>
      </c>
      <c r="O108" t="s">
        <v>15</v>
      </c>
      <c r="P108" t="s">
        <v>11</v>
      </c>
      <c r="Q108">
        <v>145</v>
      </c>
      <c r="R108">
        <v>2019</v>
      </c>
      <c r="S108" t="s">
        <v>14</v>
      </c>
      <c r="T108">
        <v>31720.68</v>
      </c>
      <c r="U108">
        <v>365</v>
      </c>
      <c r="V108" t="s">
        <v>16</v>
      </c>
      <c r="W108" t="s">
        <v>10</v>
      </c>
      <c r="X108">
        <v>33969.599999999999</v>
      </c>
      <c r="Y108">
        <v>875</v>
      </c>
      <c r="Z108">
        <v>175</v>
      </c>
      <c r="AA108">
        <v>8400</v>
      </c>
      <c r="AB108">
        <v>4.0439999999999996</v>
      </c>
      <c r="AC108" t="s">
        <v>49</v>
      </c>
    </row>
    <row r="109" spans="1:29">
      <c r="A109">
        <v>342</v>
      </c>
      <c r="B109" t="s">
        <v>16</v>
      </c>
      <c r="C109" t="s">
        <v>17</v>
      </c>
      <c r="D109" t="s">
        <v>11</v>
      </c>
      <c r="E109">
        <v>190</v>
      </c>
      <c r="F109">
        <v>2021</v>
      </c>
      <c r="G109" t="s">
        <v>22</v>
      </c>
      <c r="H109">
        <v>27154.799999999999</v>
      </c>
      <c r="I109">
        <v>0</v>
      </c>
      <c r="J109">
        <v>255</v>
      </c>
      <c r="K109">
        <v>448</v>
      </c>
      <c r="L109" t="s">
        <v>40</v>
      </c>
      <c r="M109">
        <v>68</v>
      </c>
      <c r="N109" t="s">
        <v>16</v>
      </c>
      <c r="O109" t="s">
        <v>23</v>
      </c>
      <c r="P109" t="s">
        <v>11</v>
      </c>
      <c r="Q109">
        <v>140</v>
      </c>
      <c r="R109">
        <v>2022</v>
      </c>
      <c r="S109" t="s">
        <v>22</v>
      </c>
      <c r="T109">
        <v>48842.07</v>
      </c>
      <c r="U109">
        <v>255</v>
      </c>
      <c r="V109" t="s">
        <v>16</v>
      </c>
      <c r="W109" t="s">
        <v>17</v>
      </c>
      <c r="X109">
        <v>34105</v>
      </c>
      <c r="Y109">
        <v>825</v>
      </c>
      <c r="Z109">
        <v>325</v>
      </c>
      <c r="AA109">
        <v>6000</v>
      </c>
      <c r="AB109" s="1">
        <v>5.6841666666666599</v>
      </c>
      <c r="AC109" t="s">
        <v>47</v>
      </c>
    </row>
    <row r="110" spans="1:29">
      <c r="A110">
        <v>140</v>
      </c>
      <c r="B110" t="s">
        <v>16</v>
      </c>
      <c r="C110" t="s">
        <v>10</v>
      </c>
      <c r="D110" t="s">
        <v>11</v>
      </c>
      <c r="E110">
        <v>95</v>
      </c>
      <c r="F110">
        <v>2019</v>
      </c>
      <c r="G110" t="s">
        <v>22</v>
      </c>
      <c r="H110">
        <v>31352.68</v>
      </c>
      <c r="I110">
        <v>0</v>
      </c>
      <c r="J110">
        <v>17</v>
      </c>
      <c r="K110">
        <v>310</v>
      </c>
      <c r="L110" t="s">
        <v>40</v>
      </c>
      <c r="M110">
        <v>90</v>
      </c>
      <c r="N110" t="s">
        <v>9</v>
      </c>
      <c r="O110" t="s">
        <v>23</v>
      </c>
      <c r="P110" t="s">
        <v>11</v>
      </c>
      <c r="Q110">
        <v>200</v>
      </c>
      <c r="R110">
        <v>2021</v>
      </c>
      <c r="S110" t="s">
        <v>18</v>
      </c>
      <c r="T110">
        <v>108994.8</v>
      </c>
      <c r="U110">
        <v>17</v>
      </c>
      <c r="V110" t="s">
        <v>16</v>
      </c>
      <c r="W110" t="s">
        <v>17</v>
      </c>
      <c r="X110">
        <v>34124</v>
      </c>
      <c r="Y110">
        <v>875</v>
      </c>
      <c r="Z110">
        <v>200</v>
      </c>
      <c r="AA110">
        <v>8100</v>
      </c>
      <c r="AB110" s="1">
        <v>4.2128395061728297</v>
      </c>
      <c r="AC110" t="s">
        <v>49</v>
      </c>
    </row>
    <row r="111" spans="1:29">
      <c r="B111" t="s">
        <v>108</v>
      </c>
      <c r="C111" t="s">
        <v>108</v>
      </c>
      <c r="L111" t="s">
        <v>107</v>
      </c>
      <c r="U111">
        <v>474</v>
      </c>
      <c r="V111" t="s">
        <v>16</v>
      </c>
      <c r="W111" t="s">
        <v>17</v>
      </c>
      <c r="X111">
        <v>34130</v>
      </c>
      <c r="Y111">
        <v>825</v>
      </c>
      <c r="Z111">
        <v>350</v>
      </c>
      <c r="AA111">
        <v>5700</v>
      </c>
      <c r="AB111" s="1">
        <v>5.9877192982456098</v>
      </c>
      <c r="AC111" t="s">
        <v>47</v>
      </c>
    </row>
    <row r="112" spans="1:29">
      <c r="A112">
        <v>397</v>
      </c>
      <c r="B112" t="s">
        <v>16</v>
      </c>
      <c r="C112" t="s">
        <v>10</v>
      </c>
      <c r="D112" t="s">
        <v>11</v>
      </c>
      <c r="E112">
        <v>220</v>
      </c>
      <c r="F112">
        <v>2021</v>
      </c>
      <c r="G112" t="s">
        <v>22</v>
      </c>
      <c r="H112">
        <v>27312</v>
      </c>
      <c r="I112">
        <v>0</v>
      </c>
      <c r="J112">
        <v>157</v>
      </c>
      <c r="K112">
        <v>106</v>
      </c>
      <c r="L112" t="s">
        <v>40</v>
      </c>
      <c r="M112">
        <v>76</v>
      </c>
      <c r="N112" t="s">
        <v>9</v>
      </c>
      <c r="O112" t="s">
        <v>15</v>
      </c>
      <c r="P112" t="s">
        <v>11</v>
      </c>
      <c r="Q112">
        <v>160</v>
      </c>
      <c r="R112">
        <v>2018</v>
      </c>
      <c r="S112" t="s">
        <v>14</v>
      </c>
      <c r="T112">
        <v>106111.63</v>
      </c>
      <c r="U112">
        <v>157</v>
      </c>
      <c r="V112" t="s">
        <v>16</v>
      </c>
      <c r="W112" t="s">
        <v>15</v>
      </c>
      <c r="X112">
        <v>34260.26</v>
      </c>
      <c r="Y112">
        <v>875</v>
      </c>
      <c r="Z112">
        <v>250</v>
      </c>
      <c r="AA112">
        <v>7500</v>
      </c>
      <c r="AB112" s="1">
        <v>4.5680346666666596</v>
      </c>
      <c r="AC112" t="s">
        <v>49</v>
      </c>
    </row>
    <row r="113" spans="1:29">
      <c r="A113">
        <v>156</v>
      </c>
      <c r="B113" t="s">
        <v>16</v>
      </c>
      <c r="C113" t="s">
        <v>23</v>
      </c>
      <c r="D113" t="s">
        <v>11</v>
      </c>
      <c r="E113">
        <v>145</v>
      </c>
      <c r="F113">
        <v>2019</v>
      </c>
      <c r="G113" t="s">
        <v>18</v>
      </c>
      <c r="H113">
        <v>42020</v>
      </c>
      <c r="I113">
        <v>0</v>
      </c>
      <c r="J113">
        <v>183</v>
      </c>
      <c r="K113">
        <v>364</v>
      </c>
      <c r="L113" t="s">
        <v>40</v>
      </c>
      <c r="M113">
        <v>73</v>
      </c>
      <c r="N113" t="s">
        <v>20</v>
      </c>
      <c r="O113" t="s">
        <v>10</v>
      </c>
      <c r="P113" t="s">
        <v>29</v>
      </c>
      <c r="Q113">
        <v>120</v>
      </c>
      <c r="R113">
        <v>2021</v>
      </c>
      <c r="S113" t="s">
        <v>18</v>
      </c>
      <c r="T113">
        <v>108694.8</v>
      </c>
      <c r="U113">
        <v>183</v>
      </c>
      <c r="V113" t="s">
        <v>16</v>
      </c>
      <c r="W113" t="s">
        <v>15</v>
      </c>
      <c r="X113">
        <v>34563.42</v>
      </c>
      <c r="Y113">
        <v>975</v>
      </c>
      <c r="Z113">
        <v>250</v>
      </c>
      <c r="AA113">
        <v>8700</v>
      </c>
      <c r="AB113" s="1">
        <v>3.9728068965517198</v>
      </c>
      <c r="AC113" t="s">
        <v>49</v>
      </c>
    </row>
    <row r="114" spans="1:29">
      <c r="A114">
        <v>496</v>
      </c>
      <c r="B114" t="s">
        <v>9</v>
      </c>
      <c r="C114" t="s">
        <v>23</v>
      </c>
      <c r="D114" t="s">
        <v>11</v>
      </c>
      <c r="E114">
        <v>225</v>
      </c>
      <c r="F114">
        <v>2022</v>
      </c>
      <c r="G114" t="s">
        <v>14</v>
      </c>
      <c r="H114">
        <v>105875</v>
      </c>
      <c r="I114">
        <v>0</v>
      </c>
      <c r="J114">
        <v>424</v>
      </c>
      <c r="K114">
        <v>484</v>
      </c>
      <c r="L114" t="s">
        <v>41</v>
      </c>
      <c r="M114">
        <v>39</v>
      </c>
      <c r="N114" t="s">
        <v>16</v>
      </c>
      <c r="O114" t="s">
        <v>19</v>
      </c>
      <c r="P114" t="s">
        <v>29</v>
      </c>
      <c r="Q114">
        <v>100</v>
      </c>
      <c r="R114">
        <v>2022</v>
      </c>
      <c r="S114" t="s">
        <v>14</v>
      </c>
      <c r="T114">
        <v>112375</v>
      </c>
      <c r="U114">
        <v>424</v>
      </c>
      <c r="V114" t="s">
        <v>16</v>
      </c>
      <c r="W114" t="s">
        <v>15</v>
      </c>
      <c r="X114">
        <v>34626.959999999999</v>
      </c>
      <c r="Y114">
        <v>950</v>
      </c>
      <c r="Z114">
        <v>350</v>
      </c>
      <c r="AA114">
        <v>7200</v>
      </c>
      <c r="AB114" s="1">
        <v>4.8092999999999897</v>
      </c>
      <c r="AC114" t="s">
        <v>49</v>
      </c>
    </row>
    <row r="115" spans="1:29">
      <c r="B115" t="s">
        <v>108</v>
      </c>
      <c r="C115" t="s">
        <v>108</v>
      </c>
      <c r="L115" t="s">
        <v>107</v>
      </c>
      <c r="U115">
        <v>458</v>
      </c>
      <c r="V115" t="s">
        <v>16</v>
      </c>
      <c r="W115" t="s">
        <v>10</v>
      </c>
      <c r="X115">
        <v>34838.519999999997</v>
      </c>
      <c r="Y115">
        <v>975</v>
      </c>
      <c r="Z115">
        <v>350</v>
      </c>
      <c r="AA115">
        <v>7500</v>
      </c>
      <c r="AB115">
        <v>4.6451359999999999</v>
      </c>
      <c r="AC115" t="s">
        <v>49</v>
      </c>
    </row>
    <row r="116" spans="1:29">
      <c r="A116">
        <v>361</v>
      </c>
      <c r="B116" t="s">
        <v>9</v>
      </c>
      <c r="C116" t="s">
        <v>17</v>
      </c>
      <c r="D116" t="s">
        <v>13</v>
      </c>
      <c r="E116">
        <v>210</v>
      </c>
      <c r="F116">
        <v>2021</v>
      </c>
      <c r="G116" t="s">
        <v>12</v>
      </c>
      <c r="H116">
        <v>119652</v>
      </c>
      <c r="I116">
        <v>0</v>
      </c>
      <c r="J116">
        <v>305</v>
      </c>
      <c r="K116">
        <v>311</v>
      </c>
      <c r="L116" t="s">
        <v>41</v>
      </c>
      <c r="M116">
        <v>64</v>
      </c>
      <c r="N116" t="s">
        <v>16</v>
      </c>
      <c r="O116" t="s">
        <v>23</v>
      </c>
      <c r="P116" t="s">
        <v>11</v>
      </c>
      <c r="Q116">
        <v>100</v>
      </c>
      <c r="R116">
        <v>2021</v>
      </c>
      <c r="S116" t="s">
        <v>12</v>
      </c>
      <c r="T116">
        <v>26619.599999999999</v>
      </c>
      <c r="U116">
        <v>305</v>
      </c>
      <c r="V116" t="s">
        <v>16</v>
      </c>
      <c r="W116" t="s">
        <v>23</v>
      </c>
      <c r="X116">
        <v>34915.199999999997</v>
      </c>
      <c r="Y116">
        <v>875</v>
      </c>
      <c r="Z116">
        <v>275</v>
      </c>
      <c r="AA116">
        <v>7200</v>
      </c>
      <c r="AB116" s="1">
        <v>4.8493333333333304</v>
      </c>
      <c r="AC116" t="s">
        <v>49</v>
      </c>
    </row>
    <row r="117" spans="1:29">
      <c r="A117">
        <v>92</v>
      </c>
      <c r="B117" t="s">
        <v>16</v>
      </c>
      <c r="C117" t="s">
        <v>10</v>
      </c>
      <c r="D117" t="s">
        <v>13</v>
      </c>
      <c r="E117">
        <v>105</v>
      </c>
      <c r="F117">
        <v>2018</v>
      </c>
      <c r="G117" t="s">
        <v>22</v>
      </c>
      <c r="H117">
        <v>26047.67</v>
      </c>
      <c r="I117">
        <v>0</v>
      </c>
      <c r="J117">
        <v>126</v>
      </c>
      <c r="K117">
        <v>479</v>
      </c>
      <c r="L117" t="s">
        <v>40</v>
      </c>
      <c r="M117">
        <v>79</v>
      </c>
      <c r="N117" t="s">
        <v>9</v>
      </c>
      <c r="O117" t="s">
        <v>23</v>
      </c>
      <c r="P117" t="s">
        <v>11</v>
      </c>
      <c r="Q117">
        <v>115</v>
      </c>
      <c r="R117">
        <v>2022</v>
      </c>
      <c r="S117" t="s">
        <v>14</v>
      </c>
      <c r="T117">
        <v>120790</v>
      </c>
      <c r="U117">
        <v>126</v>
      </c>
      <c r="V117" t="s">
        <v>16</v>
      </c>
      <c r="W117" t="s">
        <v>23</v>
      </c>
      <c r="X117">
        <v>34934.42</v>
      </c>
      <c r="Y117">
        <v>825</v>
      </c>
      <c r="Z117">
        <v>350</v>
      </c>
      <c r="AA117">
        <v>5700</v>
      </c>
      <c r="AB117" s="1">
        <v>6.1288456140350798</v>
      </c>
      <c r="AC117" t="s">
        <v>47</v>
      </c>
    </row>
    <row r="118" spans="1:29">
      <c r="A118">
        <v>420</v>
      </c>
      <c r="B118" t="s">
        <v>16</v>
      </c>
      <c r="C118" t="s">
        <v>23</v>
      </c>
      <c r="D118" t="s">
        <v>13</v>
      </c>
      <c r="E118">
        <v>180</v>
      </c>
      <c r="F118">
        <v>2022</v>
      </c>
      <c r="G118" t="s">
        <v>14</v>
      </c>
      <c r="H118">
        <v>37131.24</v>
      </c>
      <c r="I118">
        <v>0</v>
      </c>
      <c r="J118">
        <v>261</v>
      </c>
      <c r="K118">
        <v>342</v>
      </c>
      <c r="L118" t="s">
        <v>40</v>
      </c>
      <c r="M118">
        <v>67</v>
      </c>
      <c r="N118" t="s">
        <v>16</v>
      </c>
      <c r="O118" t="s">
        <v>17</v>
      </c>
      <c r="P118" t="s">
        <v>11</v>
      </c>
      <c r="Q118">
        <v>190</v>
      </c>
      <c r="R118">
        <v>2021</v>
      </c>
      <c r="S118" t="s">
        <v>22</v>
      </c>
      <c r="T118">
        <v>27154.799999999999</v>
      </c>
      <c r="U118">
        <v>261</v>
      </c>
      <c r="V118" t="s">
        <v>16</v>
      </c>
      <c r="W118" t="s">
        <v>10</v>
      </c>
      <c r="X118">
        <v>35066.25</v>
      </c>
      <c r="Y118">
        <v>825</v>
      </c>
      <c r="Z118">
        <v>375</v>
      </c>
      <c r="AA118">
        <v>5400</v>
      </c>
      <c r="AB118">
        <v>6.4937500000000004</v>
      </c>
      <c r="AC118" t="s">
        <v>47</v>
      </c>
    </row>
    <row r="119" spans="1:29">
      <c r="A119">
        <v>283</v>
      </c>
      <c r="B119" t="s">
        <v>9</v>
      </c>
      <c r="C119" t="s">
        <v>15</v>
      </c>
      <c r="D119" t="s">
        <v>11</v>
      </c>
      <c r="E119">
        <v>185</v>
      </c>
      <c r="F119">
        <v>2021</v>
      </c>
      <c r="G119" t="s">
        <v>22</v>
      </c>
      <c r="H119">
        <v>122922.96</v>
      </c>
      <c r="I119">
        <v>0</v>
      </c>
      <c r="J119">
        <v>199</v>
      </c>
      <c r="K119">
        <v>10</v>
      </c>
      <c r="L119" t="s">
        <v>40</v>
      </c>
      <c r="M119">
        <v>72</v>
      </c>
      <c r="N119" t="s">
        <v>9</v>
      </c>
      <c r="O119" t="s">
        <v>19</v>
      </c>
      <c r="P119" t="s">
        <v>11</v>
      </c>
      <c r="Q119">
        <v>140</v>
      </c>
      <c r="R119">
        <v>2017</v>
      </c>
      <c r="S119" t="s">
        <v>22</v>
      </c>
      <c r="T119">
        <v>96442</v>
      </c>
      <c r="U119">
        <v>199</v>
      </c>
      <c r="V119" t="s">
        <v>16</v>
      </c>
      <c r="W119" t="s">
        <v>17</v>
      </c>
      <c r="X119">
        <v>35300.120000000003</v>
      </c>
      <c r="Y119">
        <v>950</v>
      </c>
      <c r="Z119">
        <v>325</v>
      </c>
      <c r="AA119">
        <v>7500</v>
      </c>
      <c r="AB119" s="1">
        <v>4.7066826666666604</v>
      </c>
      <c r="AC119" t="s">
        <v>49</v>
      </c>
    </row>
    <row r="120" spans="1:29">
      <c r="A120">
        <v>450</v>
      </c>
      <c r="B120" t="s">
        <v>9</v>
      </c>
      <c r="C120" t="s">
        <v>23</v>
      </c>
      <c r="D120" t="s">
        <v>13</v>
      </c>
      <c r="E120">
        <v>145</v>
      </c>
      <c r="F120">
        <v>2022</v>
      </c>
      <c r="G120" t="s">
        <v>12</v>
      </c>
      <c r="H120">
        <v>100376.61</v>
      </c>
      <c r="I120">
        <v>0</v>
      </c>
      <c r="J120">
        <v>117</v>
      </c>
      <c r="K120">
        <v>205</v>
      </c>
      <c r="L120" t="s">
        <v>40</v>
      </c>
      <c r="M120">
        <v>79</v>
      </c>
      <c r="N120" t="s">
        <v>9</v>
      </c>
      <c r="O120" t="s">
        <v>10</v>
      </c>
      <c r="P120" t="s">
        <v>13</v>
      </c>
      <c r="Q120">
        <v>190</v>
      </c>
      <c r="R120">
        <v>2019</v>
      </c>
      <c r="S120" t="s">
        <v>22</v>
      </c>
      <c r="T120">
        <v>108537.64</v>
      </c>
      <c r="U120">
        <v>117</v>
      </c>
      <c r="V120" t="s">
        <v>16</v>
      </c>
      <c r="W120" t="s">
        <v>19</v>
      </c>
      <c r="X120">
        <v>35308.35</v>
      </c>
      <c r="Y120">
        <v>825</v>
      </c>
      <c r="Z120">
        <v>325</v>
      </c>
      <c r="AA120">
        <v>6000</v>
      </c>
      <c r="AB120" s="1">
        <v>5.8847249999999898</v>
      </c>
      <c r="AC120" t="s">
        <v>47</v>
      </c>
    </row>
    <row r="121" spans="1:29">
      <c r="A121">
        <v>75</v>
      </c>
      <c r="B121" t="s">
        <v>20</v>
      </c>
      <c r="C121" t="s">
        <v>10</v>
      </c>
      <c r="D121" t="s">
        <v>11</v>
      </c>
      <c r="E121">
        <v>130</v>
      </c>
      <c r="F121">
        <v>2018</v>
      </c>
      <c r="G121" t="s">
        <v>12</v>
      </c>
      <c r="H121">
        <v>95874.46</v>
      </c>
      <c r="I121">
        <v>0</v>
      </c>
      <c r="J121">
        <v>376</v>
      </c>
      <c r="K121">
        <v>143</v>
      </c>
      <c r="L121" t="s">
        <v>41</v>
      </c>
      <c r="M121">
        <v>59</v>
      </c>
      <c r="N121" t="s">
        <v>16</v>
      </c>
      <c r="O121" t="s">
        <v>17</v>
      </c>
      <c r="P121" t="s">
        <v>13</v>
      </c>
      <c r="Q121">
        <v>160</v>
      </c>
      <c r="R121">
        <v>2019</v>
      </c>
      <c r="S121" t="s">
        <v>12</v>
      </c>
      <c r="T121">
        <v>40195.440000000002</v>
      </c>
      <c r="U121">
        <v>376</v>
      </c>
      <c r="V121" t="s">
        <v>16</v>
      </c>
      <c r="W121" t="s">
        <v>19</v>
      </c>
      <c r="X121">
        <v>35329.199999999997</v>
      </c>
      <c r="Y121">
        <v>950</v>
      </c>
      <c r="Z121">
        <v>200</v>
      </c>
      <c r="AA121">
        <v>9000</v>
      </c>
      <c r="AB121" s="1">
        <v>3.9254666666666602</v>
      </c>
      <c r="AC121" t="s">
        <v>49</v>
      </c>
    </row>
    <row r="122" spans="1:29">
      <c r="A122">
        <v>63</v>
      </c>
      <c r="B122" t="s">
        <v>16</v>
      </c>
      <c r="C122" t="s">
        <v>17</v>
      </c>
      <c r="D122" t="s">
        <v>11</v>
      </c>
      <c r="E122">
        <v>150</v>
      </c>
      <c r="F122">
        <v>2018</v>
      </c>
      <c r="G122" t="s">
        <v>22</v>
      </c>
      <c r="H122">
        <v>23647.52</v>
      </c>
      <c r="I122">
        <v>0</v>
      </c>
      <c r="J122">
        <v>171</v>
      </c>
      <c r="K122">
        <v>131</v>
      </c>
      <c r="L122" t="s">
        <v>40</v>
      </c>
      <c r="M122">
        <v>75</v>
      </c>
      <c r="N122" t="s">
        <v>9</v>
      </c>
      <c r="O122" t="s">
        <v>23</v>
      </c>
      <c r="P122" t="s">
        <v>13</v>
      </c>
      <c r="Q122">
        <v>135</v>
      </c>
      <c r="R122">
        <v>2019</v>
      </c>
      <c r="S122" t="s">
        <v>18</v>
      </c>
      <c r="T122">
        <v>116247.96</v>
      </c>
      <c r="U122">
        <v>171</v>
      </c>
      <c r="V122" t="s">
        <v>16</v>
      </c>
      <c r="W122" t="s">
        <v>23</v>
      </c>
      <c r="X122">
        <v>35468.400000000001</v>
      </c>
      <c r="Y122">
        <v>950</v>
      </c>
      <c r="Z122">
        <v>200</v>
      </c>
      <c r="AA122">
        <v>9000</v>
      </c>
      <c r="AB122" s="1">
        <v>3.9409333333333301</v>
      </c>
      <c r="AC122" t="s">
        <v>49</v>
      </c>
    </row>
    <row r="123" spans="1:29">
      <c r="A123">
        <v>443</v>
      </c>
      <c r="B123" t="s">
        <v>16</v>
      </c>
      <c r="C123" t="s">
        <v>17</v>
      </c>
      <c r="D123" t="s">
        <v>13</v>
      </c>
      <c r="E123">
        <v>95</v>
      </c>
      <c r="F123">
        <v>2022</v>
      </c>
      <c r="G123" t="s">
        <v>22</v>
      </c>
      <c r="H123">
        <v>32262.9</v>
      </c>
      <c r="I123">
        <v>0</v>
      </c>
      <c r="J123">
        <v>115</v>
      </c>
      <c r="K123">
        <v>175</v>
      </c>
      <c r="L123" t="s">
        <v>40</v>
      </c>
      <c r="M123">
        <v>79</v>
      </c>
      <c r="N123" t="s">
        <v>9</v>
      </c>
      <c r="O123" t="s">
        <v>10</v>
      </c>
      <c r="P123" t="s">
        <v>13</v>
      </c>
      <c r="Q123">
        <v>170</v>
      </c>
      <c r="R123">
        <v>2019</v>
      </c>
      <c r="S123" t="s">
        <v>12</v>
      </c>
      <c r="T123">
        <v>96691.32</v>
      </c>
      <c r="U123">
        <v>115</v>
      </c>
      <c r="V123" t="s">
        <v>16</v>
      </c>
      <c r="W123" t="s">
        <v>17</v>
      </c>
      <c r="X123">
        <v>35494.160000000003</v>
      </c>
      <c r="Y123">
        <v>975</v>
      </c>
      <c r="Z123">
        <v>150</v>
      </c>
      <c r="AA123">
        <v>9900</v>
      </c>
      <c r="AB123" s="1">
        <v>3.5852686868686798</v>
      </c>
      <c r="AC123" t="s">
        <v>49</v>
      </c>
    </row>
    <row r="124" spans="1:29">
      <c r="A124">
        <v>466</v>
      </c>
      <c r="B124" t="s">
        <v>16</v>
      </c>
      <c r="C124" t="s">
        <v>17</v>
      </c>
      <c r="D124" t="s">
        <v>11</v>
      </c>
      <c r="E124">
        <v>200</v>
      </c>
      <c r="F124">
        <v>2022</v>
      </c>
      <c r="G124" t="s">
        <v>22</v>
      </c>
      <c r="H124">
        <v>32921.25</v>
      </c>
      <c r="I124">
        <v>0</v>
      </c>
      <c r="J124">
        <v>315</v>
      </c>
      <c r="K124">
        <v>117</v>
      </c>
      <c r="L124" t="s">
        <v>41</v>
      </c>
      <c r="M124">
        <v>64</v>
      </c>
      <c r="N124" t="s">
        <v>16</v>
      </c>
      <c r="O124" t="s">
        <v>19</v>
      </c>
      <c r="P124" t="s">
        <v>11</v>
      </c>
      <c r="Q124">
        <v>210</v>
      </c>
      <c r="R124">
        <v>2018</v>
      </c>
      <c r="S124" t="s">
        <v>18</v>
      </c>
      <c r="T124">
        <v>35308.35</v>
      </c>
      <c r="U124">
        <v>315</v>
      </c>
      <c r="V124" t="s">
        <v>16</v>
      </c>
      <c r="W124" t="s">
        <v>19</v>
      </c>
      <c r="X124">
        <v>35496</v>
      </c>
      <c r="Y124">
        <v>975</v>
      </c>
      <c r="Z124">
        <v>200</v>
      </c>
      <c r="AA124">
        <v>9300</v>
      </c>
      <c r="AB124" s="1">
        <v>3.8167741935483801</v>
      </c>
      <c r="AC124" t="s">
        <v>49</v>
      </c>
    </row>
    <row r="125" spans="1:29">
      <c r="A125">
        <v>262</v>
      </c>
      <c r="B125" t="s">
        <v>20</v>
      </c>
      <c r="C125" t="s">
        <v>23</v>
      </c>
      <c r="D125" t="s">
        <v>11</v>
      </c>
      <c r="E125">
        <v>135</v>
      </c>
      <c r="F125">
        <v>2020</v>
      </c>
      <c r="G125" t="s">
        <v>12</v>
      </c>
      <c r="H125">
        <v>130727.5</v>
      </c>
      <c r="I125">
        <v>0</v>
      </c>
      <c r="J125">
        <v>344</v>
      </c>
      <c r="K125">
        <v>85</v>
      </c>
      <c r="L125" t="s">
        <v>41</v>
      </c>
      <c r="M125">
        <v>62</v>
      </c>
      <c r="N125" t="s">
        <v>16</v>
      </c>
      <c r="O125" t="s">
        <v>23</v>
      </c>
      <c r="P125" t="s">
        <v>11</v>
      </c>
      <c r="Q125">
        <v>155</v>
      </c>
      <c r="R125">
        <v>2018</v>
      </c>
      <c r="S125" t="s">
        <v>22</v>
      </c>
      <c r="T125">
        <v>36601.949999999997</v>
      </c>
      <c r="U125">
        <v>344</v>
      </c>
      <c r="V125" t="s">
        <v>16</v>
      </c>
      <c r="W125" t="s">
        <v>19</v>
      </c>
      <c r="X125">
        <v>35658</v>
      </c>
      <c r="Y125">
        <v>950</v>
      </c>
      <c r="Z125">
        <v>325</v>
      </c>
      <c r="AA125">
        <v>7500</v>
      </c>
      <c r="AB125">
        <v>4.7544000000000004</v>
      </c>
      <c r="AC125" t="s">
        <v>49</v>
      </c>
    </row>
    <row r="126" spans="1:29">
      <c r="A126">
        <v>309</v>
      </c>
      <c r="B126" t="s">
        <v>16</v>
      </c>
      <c r="C126" t="s">
        <v>23</v>
      </c>
      <c r="D126" t="s">
        <v>11</v>
      </c>
      <c r="E126">
        <v>205</v>
      </c>
      <c r="F126">
        <v>2021</v>
      </c>
      <c r="G126" t="s">
        <v>12</v>
      </c>
      <c r="H126">
        <v>41137.199999999997</v>
      </c>
      <c r="I126">
        <v>0</v>
      </c>
      <c r="J126">
        <v>203</v>
      </c>
      <c r="K126">
        <v>52</v>
      </c>
      <c r="L126" t="s">
        <v>40</v>
      </c>
      <c r="M126">
        <v>72</v>
      </c>
      <c r="N126" t="s">
        <v>9</v>
      </c>
      <c r="O126" t="s">
        <v>15</v>
      </c>
      <c r="P126" t="s">
        <v>11</v>
      </c>
      <c r="Q126">
        <v>150</v>
      </c>
      <c r="R126">
        <v>2018</v>
      </c>
      <c r="S126" t="s">
        <v>14</v>
      </c>
      <c r="T126">
        <v>105608.88</v>
      </c>
      <c r="U126">
        <v>203</v>
      </c>
      <c r="V126" t="s">
        <v>16</v>
      </c>
      <c r="W126" t="s">
        <v>19</v>
      </c>
      <c r="X126">
        <v>35824.68</v>
      </c>
      <c r="Y126">
        <v>875</v>
      </c>
      <c r="Z126">
        <v>350</v>
      </c>
      <c r="AA126">
        <v>6300</v>
      </c>
      <c r="AB126" s="1">
        <v>5.6864571428571402</v>
      </c>
      <c r="AC126" t="s">
        <v>47</v>
      </c>
    </row>
    <row r="127" spans="1:29">
      <c r="A127">
        <v>214</v>
      </c>
      <c r="B127" t="s">
        <v>16</v>
      </c>
      <c r="C127" t="s">
        <v>23</v>
      </c>
      <c r="D127" t="s">
        <v>13</v>
      </c>
      <c r="E127">
        <v>115</v>
      </c>
      <c r="F127">
        <v>2019</v>
      </c>
      <c r="G127" t="s">
        <v>22</v>
      </c>
      <c r="H127">
        <v>23819.4</v>
      </c>
      <c r="I127">
        <v>0</v>
      </c>
      <c r="J127">
        <v>240</v>
      </c>
      <c r="K127">
        <v>161</v>
      </c>
      <c r="L127" t="s">
        <v>40</v>
      </c>
      <c r="M127">
        <v>69</v>
      </c>
      <c r="N127" t="s">
        <v>16</v>
      </c>
      <c r="O127" t="s">
        <v>10</v>
      </c>
      <c r="P127" t="s">
        <v>11</v>
      </c>
      <c r="Q127">
        <v>160</v>
      </c>
      <c r="R127">
        <v>2019</v>
      </c>
      <c r="S127" t="s">
        <v>22</v>
      </c>
      <c r="T127">
        <v>37293.300000000003</v>
      </c>
      <c r="U127">
        <v>240</v>
      </c>
      <c r="V127" t="s">
        <v>16</v>
      </c>
      <c r="W127" t="s">
        <v>19</v>
      </c>
      <c r="X127">
        <v>35835.42</v>
      </c>
      <c r="Y127">
        <v>950</v>
      </c>
      <c r="Z127">
        <v>250</v>
      </c>
      <c r="AA127">
        <v>8400</v>
      </c>
      <c r="AB127" s="1">
        <v>4.2661214285714202</v>
      </c>
      <c r="AC127" t="s">
        <v>49</v>
      </c>
    </row>
    <row r="128" spans="1:29">
      <c r="B128" t="s">
        <v>108</v>
      </c>
      <c r="C128" t="s">
        <v>108</v>
      </c>
      <c r="L128" t="s">
        <v>107</v>
      </c>
      <c r="U128">
        <v>498</v>
      </c>
      <c r="V128" t="s">
        <v>16</v>
      </c>
      <c r="W128" t="s">
        <v>17</v>
      </c>
      <c r="X128">
        <v>35860</v>
      </c>
      <c r="Y128">
        <v>950</v>
      </c>
      <c r="Z128">
        <v>225</v>
      </c>
      <c r="AA128">
        <v>8700</v>
      </c>
      <c r="AB128">
        <v>4.12183908045977</v>
      </c>
      <c r="AC128" t="s">
        <v>49</v>
      </c>
    </row>
    <row r="129" spans="1:29">
      <c r="A129">
        <v>157</v>
      </c>
      <c r="B129" t="s">
        <v>16</v>
      </c>
      <c r="C129" t="s">
        <v>15</v>
      </c>
      <c r="D129" t="s">
        <v>11</v>
      </c>
      <c r="E129">
        <v>210</v>
      </c>
      <c r="F129">
        <v>2019</v>
      </c>
      <c r="G129" t="s">
        <v>12</v>
      </c>
      <c r="H129">
        <v>34260.26</v>
      </c>
      <c r="I129">
        <v>0</v>
      </c>
      <c r="J129">
        <v>82</v>
      </c>
      <c r="K129">
        <v>226</v>
      </c>
      <c r="L129" t="s">
        <v>40</v>
      </c>
      <c r="M129">
        <v>82</v>
      </c>
      <c r="N129" t="s">
        <v>9</v>
      </c>
      <c r="O129" t="s">
        <v>23</v>
      </c>
      <c r="P129" t="s">
        <v>13</v>
      </c>
      <c r="Q129">
        <v>245</v>
      </c>
      <c r="R129">
        <v>2019</v>
      </c>
      <c r="S129" t="s">
        <v>12</v>
      </c>
      <c r="T129">
        <v>114874.32</v>
      </c>
      <c r="U129">
        <v>82</v>
      </c>
      <c r="V129" t="s">
        <v>16</v>
      </c>
      <c r="W129" t="s">
        <v>10</v>
      </c>
      <c r="X129">
        <v>35933.040000000001</v>
      </c>
      <c r="Y129">
        <v>875</v>
      </c>
      <c r="Z129">
        <v>225</v>
      </c>
      <c r="AA129">
        <v>7800</v>
      </c>
      <c r="AB129">
        <v>4.6067999999999998</v>
      </c>
      <c r="AC129" t="s">
        <v>49</v>
      </c>
    </row>
    <row r="130" spans="1:29">
      <c r="B130" t="s">
        <v>108</v>
      </c>
      <c r="C130" t="s">
        <v>108</v>
      </c>
      <c r="L130" t="s">
        <v>107</v>
      </c>
      <c r="U130">
        <v>468</v>
      </c>
      <c r="V130" t="s">
        <v>16</v>
      </c>
      <c r="W130" t="s">
        <v>23</v>
      </c>
      <c r="X130">
        <v>36393.75</v>
      </c>
      <c r="Y130">
        <v>825</v>
      </c>
      <c r="Z130">
        <v>250</v>
      </c>
      <c r="AA130">
        <v>6900</v>
      </c>
      <c r="AB130" s="1">
        <v>5.2744565217391299</v>
      </c>
      <c r="AC130" t="s">
        <v>47</v>
      </c>
    </row>
    <row r="131" spans="1:29">
      <c r="A131">
        <v>123</v>
      </c>
      <c r="B131" t="s">
        <v>16</v>
      </c>
      <c r="C131" t="s">
        <v>23</v>
      </c>
      <c r="D131" t="s">
        <v>13</v>
      </c>
      <c r="E131">
        <v>160</v>
      </c>
      <c r="F131">
        <v>2019</v>
      </c>
      <c r="G131" t="s">
        <v>14</v>
      </c>
      <c r="H131" s="1" t="s">
        <v>35</v>
      </c>
      <c r="I131">
        <v>0</v>
      </c>
      <c r="J131">
        <v>228</v>
      </c>
      <c r="K131">
        <v>462</v>
      </c>
      <c r="L131" t="s">
        <v>40</v>
      </c>
      <c r="M131">
        <v>70</v>
      </c>
      <c r="N131" t="s">
        <v>16</v>
      </c>
      <c r="O131" t="s">
        <v>17</v>
      </c>
      <c r="P131" t="s">
        <v>11</v>
      </c>
      <c r="Q131">
        <v>205</v>
      </c>
      <c r="R131">
        <v>2022</v>
      </c>
      <c r="S131" t="s">
        <v>14</v>
      </c>
      <c r="T131">
        <v>38717.5</v>
      </c>
      <c r="U131">
        <v>228</v>
      </c>
      <c r="V131" t="s">
        <v>16</v>
      </c>
      <c r="W131" t="s">
        <v>19</v>
      </c>
      <c r="X131">
        <v>36587.160000000003</v>
      </c>
      <c r="Y131">
        <v>950</v>
      </c>
      <c r="Z131">
        <v>325</v>
      </c>
      <c r="AA131">
        <v>7500</v>
      </c>
      <c r="AB131">
        <v>4.8782880000000004</v>
      </c>
      <c r="AC131" t="s">
        <v>49</v>
      </c>
    </row>
    <row r="132" spans="1:29">
      <c r="A132">
        <v>418</v>
      </c>
      <c r="B132" t="s">
        <v>16</v>
      </c>
      <c r="C132" t="s">
        <v>15</v>
      </c>
      <c r="D132" t="s">
        <v>11</v>
      </c>
      <c r="E132">
        <v>115</v>
      </c>
      <c r="F132">
        <v>2022</v>
      </c>
      <c r="G132" t="s">
        <v>18</v>
      </c>
      <c r="H132">
        <v>31531.05</v>
      </c>
      <c r="I132">
        <v>0</v>
      </c>
      <c r="J132">
        <v>160</v>
      </c>
      <c r="K132">
        <v>292</v>
      </c>
      <c r="L132" t="s">
        <v>40</v>
      </c>
      <c r="M132">
        <v>75</v>
      </c>
      <c r="N132" t="s">
        <v>16</v>
      </c>
      <c r="O132" t="s">
        <v>23</v>
      </c>
      <c r="P132" t="s">
        <v>11</v>
      </c>
      <c r="Q132">
        <v>215</v>
      </c>
      <c r="R132">
        <v>2021</v>
      </c>
      <c r="S132" t="s">
        <v>12</v>
      </c>
      <c r="T132">
        <v>36832.800000000003</v>
      </c>
      <c r="U132">
        <v>160</v>
      </c>
      <c r="V132" t="s">
        <v>16</v>
      </c>
      <c r="W132" t="s">
        <v>19</v>
      </c>
      <c r="X132">
        <v>36601.4</v>
      </c>
      <c r="Y132">
        <v>975</v>
      </c>
      <c r="Z132">
        <v>275</v>
      </c>
      <c r="AA132">
        <v>8400</v>
      </c>
      <c r="AB132" s="1">
        <v>4.3573095238095201</v>
      </c>
      <c r="AC132" t="s">
        <v>49</v>
      </c>
    </row>
    <row r="133" spans="1:29">
      <c r="A133">
        <v>190</v>
      </c>
      <c r="B133" t="s">
        <v>20</v>
      </c>
      <c r="C133" t="s">
        <v>23</v>
      </c>
      <c r="D133" t="s">
        <v>13</v>
      </c>
      <c r="E133">
        <v>205</v>
      </c>
      <c r="F133">
        <v>2019</v>
      </c>
      <c r="G133" t="s">
        <v>14</v>
      </c>
      <c r="H133">
        <v>87276.160000000003</v>
      </c>
      <c r="I133">
        <v>0</v>
      </c>
      <c r="J133">
        <v>85</v>
      </c>
      <c r="K133">
        <v>469</v>
      </c>
      <c r="L133" t="s">
        <v>40</v>
      </c>
      <c r="M133">
        <v>82</v>
      </c>
      <c r="N133" t="s">
        <v>9</v>
      </c>
      <c r="O133" t="s">
        <v>23</v>
      </c>
      <c r="P133" t="s">
        <v>13</v>
      </c>
      <c r="Q133">
        <v>175</v>
      </c>
      <c r="R133">
        <v>2022</v>
      </c>
      <c r="S133" t="s">
        <v>12</v>
      </c>
      <c r="T133">
        <v>118886.25</v>
      </c>
      <c r="U133">
        <v>85</v>
      </c>
      <c r="V133" t="s">
        <v>16</v>
      </c>
      <c r="W133" t="s">
        <v>23</v>
      </c>
      <c r="X133">
        <v>36601.949999999997</v>
      </c>
      <c r="Y133">
        <v>975</v>
      </c>
      <c r="Z133">
        <v>325</v>
      </c>
      <c r="AA133">
        <v>7800</v>
      </c>
      <c r="AB133" s="1">
        <v>4.6925576923076902</v>
      </c>
      <c r="AC133" t="s">
        <v>49</v>
      </c>
    </row>
    <row r="134" spans="1:29">
      <c r="A134">
        <v>288</v>
      </c>
      <c r="B134" t="s">
        <v>16</v>
      </c>
      <c r="C134" t="s">
        <v>17</v>
      </c>
      <c r="D134" t="s">
        <v>11</v>
      </c>
      <c r="E134">
        <v>215</v>
      </c>
      <c r="F134">
        <v>2021</v>
      </c>
      <c r="G134" t="s">
        <v>14</v>
      </c>
      <c r="H134">
        <v>25816.799999999999</v>
      </c>
      <c r="I134">
        <v>0</v>
      </c>
      <c r="J134">
        <v>292</v>
      </c>
      <c r="K134">
        <v>483</v>
      </c>
      <c r="L134" t="s">
        <v>40</v>
      </c>
      <c r="M134">
        <v>65</v>
      </c>
      <c r="N134" t="s">
        <v>16</v>
      </c>
      <c r="O134" t="s">
        <v>17</v>
      </c>
      <c r="P134" t="s">
        <v>13</v>
      </c>
      <c r="Q134">
        <v>245</v>
      </c>
      <c r="R134">
        <v>2022</v>
      </c>
      <c r="S134" t="s">
        <v>14</v>
      </c>
      <c r="T134">
        <v>32045</v>
      </c>
      <c r="U134">
        <v>292</v>
      </c>
      <c r="V134" t="s">
        <v>16</v>
      </c>
      <c r="W134" t="s">
        <v>23</v>
      </c>
      <c r="X134">
        <v>36832.800000000003</v>
      </c>
      <c r="Y134">
        <v>875</v>
      </c>
      <c r="Z134">
        <v>275</v>
      </c>
      <c r="AA134">
        <v>7200</v>
      </c>
      <c r="AB134" s="1">
        <v>5.1156666666666597</v>
      </c>
      <c r="AC134" t="s">
        <v>47</v>
      </c>
    </row>
    <row r="135" spans="1:29">
      <c r="A135">
        <v>234</v>
      </c>
      <c r="B135" t="s">
        <v>16</v>
      </c>
      <c r="C135" t="s">
        <v>10</v>
      </c>
      <c r="D135" t="s">
        <v>13</v>
      </c>
      <c r="E135">
        <v>90</v>
      </c>
      <c r="F135">
        <v>2019</v>
      </c>
      <c r="G135" t="s">
        <v>22</v>
      </c>
      <c r="H135">
        <v>23569.7</v>
      </c>
      <c r="I135">
        <v>0</v>
      </c>
      <c r="J135">
        <v>194</v>
      </c>
      <c r="K135">
        <v>367</v>
      </c>
      <c r="L135" t="s">
        <v>40</v>
      </c>
      <c r="M135">
        <v>72</v>
      </c>
      <c r="N135" t="s">
        <v>16</v>
      </c>
      <c r="O135" t="s">
        <v>23</v>
      </c>
      <c r="P135" t="s">
        <v>11</v>
      </c>
      <c r="Q135">
        <v>165</v>
      </c>
      <c r="R135">
        <v>2021</v>
      </c>
      <c r="S135" t="s">
        <v>14</v>
      </c>
      <c r="T135">
        <v>31366.799999999999</v>
      </c>
      <c r="U135">
        <v>194</v>
      </c>
      <c r="V135" t="s">
        <v>16</v>
      </c>
      <c r="W135" t="s">
        <v>19</v>
      </c>
      <c r="X135">
        <v>36980.28</v>
      </c>
      <c r="Y135">
        <v>950</v>
      </c>
      <c r="Z135">
        <v>350</v>
      </c>
      <c r="AA135">
        <v>7200</v>
      </c>
      <c r="AB135">
        <v>5.1361499999999998</v>
      </c>
      <c r="AC135" t="s">
        <v>47</v>
      </c>
    </row>
    <row r="136" spans="1:29">
      <c r="A136">
        <v>424</v>
      </c>
      <c r="B136" t="s">
        <v>16</v>
      </c>
      <c r="C136" t="s">
        <v>15</v>
      </c>
      <c r="D136" t="s">
        <v>13</v>
      </c>
      <c r="E136">
        <v>190</v>
      </c>
      <c r="F136">
        <v>2022</v>
      </c>
      <c r="G136" t="s">
        <v>14</v>
      </c>
      <c r="H136">
        <v>34626.959999999999</v>
      </c>
      <c r="I136">
        <v>0</v>
      </c>
      <c r="J136">
        <v>312</v>
      </c>
      <c r="K136">
        <v>195</v>
      </c>
      <c r="L136" t="s">
        <v>41</v>
      </c>
      <c r="M136">
        <v>64</v>
      </c>
      <c r="N136" t="s">
        <v>16</v>
      </c>
      <c r="O136" t="s">
        <v>17</v>
      </c>
      <c r="P136" t="s">
        <v>11</v>
      </c>
      <c r="Q136">
        <v>185</v>
      </c>
      <c r="R136">
        <v>2019</v>
      </c>
      <c r="S136" t="s">
        <v>12</v>
      </c>
      <c r="T136">
        <v>32039.279999999999</v>
      </c>
      <c r="U136">
        <v>312</v>
      </c>
      <c r="V136" t="s">
        <v>16</v>
      </c>
      <c r="W136" t="s">
        <v>19</v>
      </c>
      <c r="X136">
        <v>37052.400000000001</v>
      </c>
      <c r="Y136">
        <v>950</v>
      </c>
      <c r="Z136">
        <v>150</v>
      </c>
      <c r="AA136">
        <v>9600</v>
      </c>
      <c r="AB136">
        <v>3.8596249999999999</v>
      </c>
      <c r="AC136" t="s">
        <v>49</v>
      </c>
    </row>
    <row r="137" spans="1:29">
      <c r="B137" t="s">
        <v>108</v>
      </c>
      <c r="C137" t="s">
        <v>108</v>
      </c>
      <c r="L137" t="s">
        <v>107</v>
      </c>
      <c r="U137">
        <v>463</v>
      </c>
      <c r="V137" t="s">
        <v>16</v>
      </c>
      <c r="W137" t="s">
        <v>17</v>
      </c>
      <c r="X137">
        <v>37098.75</v>
      </c>
      <c r="Y137">
        <v>825</v>
      </c>
      <c r="Z137">
        <v>300</v>
      </c>
      <c r="AA137">
        <v>6300</v>
      </c>
      <c r="AB137" s="1">
        <v>5.8886904761904697</v>
      </c>
      <c r="AC137" t="s">
        <v>47</v>
      </c>
    </row>
    <row r="138" spans="1:29">
      <c r="A138">
        <v>456</v>
      </c>
      <c r="B138" t="s">
        <v>9</v>
      </c>
      <c r="C138" t="s">
        <v>23</v>
      </c>
      <c r="D138" t="s">
        <v>13</v>
      </c>
      <c r="E138">
        <v>205</v>
      </c>
      <c r="F138">
        <v>2022</v>
      </c>
      <c r="G138" t="s">
        <v>12</v>
      </c>
      <c r="H138">
        <v>108028.44</v>
      </c>
      <c r="I138">
        <v>0</v>
      </c>
      <c r="J138">
        <v>420</v>
      </c>
      <c r="K138">
        <v>120</v>
      </c>
      <c r="L138" t="s">
        <v>41</v>
      </c>
      <c r="M138">
        <v>53</v>
      </c>
      <c r="N138" t="s">
        <v>16</v>
      </c>
      <c r="O138" t="s">
        <v>17</v>
      </c>
      <c r="P138" t="s">
        <v>11</v>
      </c>
      <c r="Q138">
        <v>100</v>
      </c>
      <c r="R138">
        <v>2018</v>
      </c>
      <c r="S138" t="s">
        <v>12</v>
      </c>
      <c r="T138">
        <v>37476.6</v>
      </c>
      <c r="U138">
        <v>420</v>
      </c>
      <c r="V138" t="s">
        <v>16</v>
      </c>
      <c r="W138" t="s">
        <v>23</v>
      </c>
      <c r="X138">
        <v>37131.24</v>
      </c>
      <c r="Y138">
        <v>950</v>
      </c>
      <c r="Z138">
        <v>350</v>
      </c>
      <c r="AA138">
        <v>7200</v>
      </c>
      <c r="AB138" s="1">
        <v>5.1571166666666599</v>
      </c>
      <c r="AC138" t="s">
        <v>47</v>
      </c>
    </row>
    <row r="139" spans="1:29">
      <c r="A139">
        <v>384</v>
      </c>
      <c r="B139" t="s">
        <v>9</v>
      </c>
      <c r="C139" t="s">
        <v>10</v>
      </c>
      <c r="D139" t="s">
        <v>13</v>
      </c>
      <c r="E139">
        <v>160</v>
      </c>
      <c r="F139">
        <v>2021</v>
      </c>
      <c r="G139" t="s">
        <v>12</v>
      </c>
      <c r="H139">
        <v>98467.199999999997</v>
      </c>
      <c r="I139">
        <v>0</v>
      </c>
      <c r="J139">
        <v>358</v>
      </c>
      <c r="K139">
        <v>33</v>
      </c>
      <c r="L139" t="s">
        <v>41</v>
      </c>
      <c r="M139">
        <v>61</v>
      </c>
      <c r="N139" t="s">
        <v>16</v>
      </c>
      <c r="O139" t="s">
        <v>19</v>
      </c>
      <c r="P139" t="s">
        <v>11</v>
      </c>
      <c r="Q139">
        <v>160</v>
      </c>
      <c r="R139">
        <v>2017</v>
      </c>
      <c r="S139" t="s">
        <v>22</v>
      </c>
      <c r="T139">
        <v>33341</v>
      </c>
      <c r="U139">
        <v>358</v>
      </c>
      <c r="V139" t="s">
        <v>16</v>
      </c>
      <c r="W139" t="s">
        <v>17</v>
      </c>
      <c r="X139">
        <v>37182</v>
      </c>
      <c r="Y139">
        <v>950</v>
      </c>
      <c r="Z139">
        <v>225</v>
      </c>
      <c r="AA139">
        <v>8700</v>
      </c>
      <c r="AB139" s="1">
        <v>4.2737931034482699</v>
      </c>
      <c r="AC139" t="s">
        <v>49</v>
      </c>
    </row>
    <row r="140" spans="1:29">
      <c r="A140">
        <v>344</v>
      </c>
      <c r="B140" t="s">
        <v>16</v>
      </c>
      <c r="C140" t="s">
        <v>19</v>
      </c>
      <c r="D140" t="s">
        <v>11</v>
      </c>
      <c r="E140">
        <v>130</v>
      </c>
      <c r="F140">
        <v>2021</v>
      </c>
      <c r="G140" t="s">
        <v>14</v>
      </c>
      <c r="H140">
        <v>35658</v>
      </c>
      <c r="I140">
        <v>0</v>
      </c>
      <c r="J140">
        <v>409</v>
      </c>
      <c r="K140">
        <v>159</v>
      </c>
      <c r="L140" t="s">
        <v>41</v>
      </c>
      <c r="M140">
        <v>55</v>
      </c>
      <c r="N140" t="s">
        <v>16</v>
      </c>
      <c r="O140" t="s">
        <v>17</v>
      </c>
      <c r="P140" t="s">
        <v>13</v>
      </c>
      <c r="Q140">
        <v>140</v>
      </c>
      <c r="R140">
        <v>2019</v>
      </c>
      <c r="S140" t="s">
        <v>18</v>
      </c>
      <c r="T140" s="1">
        <v>25215.3</v>
      </c>
      <c r="U140">
        <v>409</v>
      </c>
      <c r="V140" t="s">
        <v>16</v>
      </c>
      <c r="W140" t="s">
        <v>17</v>
      </c>
      <c r="X140">
        <v>37256.699999999997</v>
      </c>
      <c r="Y140">
        <v>825</v>
      </c>
      <c r="Z140">
        <v>300</v>
      </c>
      <c r="AA140">
        <v>6300</v>
      </c>
      <c r="AB140" s="1">
        <v>5.9137619047619001</v>
      </c>
      <c r="AC140" t="s">
        <v>47</v>
      </c>
    </row>
    <row r="141" spans="1:29">
      <c r="A141">
        <v>431</v>
      </c>
      <c r="B141" t="s">
        <v>16</v>
      </c>
      <c r="C141" t="s">
        <v>19</v>
      </c>
      <c r="D141" t="s">
        <v>11</v>
      </c>
      <c r="E141">
        <v>180</v>
      </c>
      <c r="F141">
        <v>2022</v>
      </c>
      <c r="G141" t="s">
        <v>12</v>
      </c>
      <c r="H141">
        <v>27138.720000000001</v>
      </c>
      <c r="I141">
        <v>0</v>
      </c>
      <c r="J141">
        <v>161</v>
      </c>
      <c r="K141">
        <v>412</v>
      </c>
      <c r="L141" t="s">
        <v>40</v>
      </c>
      <c r="M141">
        <v>75</v>
      </c>
      <c r="N141" t="s">
        <v>16</v>
      </c>
      <c r="O141" t="s">
        <v>23</v>
      </c>
      <c r="P141" t="s">
        <v>11</v>
      </c>
      <c r="Q141">
        <v>230</v>
      </c>
      <c r="R141">
        <v>2022</v>
      </c>
      <c r="S141" t="s">
        <v>12</v>
      </c>
      <c r="T141">
        <v>37924.589999999997</v>
      </c>
      <c r="U141">
        <v>161</v>
      </c>
      <c r="V141" t="s">
        <v>16</v>
      </c>
      <c r="W141" t="s">
        <v>10</v>
      </c>
      <c r="X141">
        <v>37293.300000000003</v>
      </c>
      <c r="Y141">
        <v>975</v>
      </c>
      <c r="Z141">
        <v>325</v>
      </c>
      <c r="AA141">
        <v>7800</v>
      </c>
      <c r="AB141" s="1">
        <v>4.7811923076923</v>
      </c>
      <c r="AC141" t="s">
        <v>49</v>
      </c>
    </row>
    <row r="142" spans="1:29">
      <c r="A142">
        <v>218</v>
      </c>
      <c r="B142" t="s">
        <v>16</v>
      </c>
      <c r="C142" t="s">
        <v>15</v>
      </c>
      <c r="D142" t="s">
        <v>13</v>
      </c>
      <c r="E142">
        <v>205</v>
      </c>
      <c r="F142">
        <v>2019</v>
      </c>
      <c r="G142" t="s">
        <v>18</v>
      </c>
      <c r="H142" s="1" t="s">
        <v>32</v>
      </c>
      <c r="I142">
        <v>0</v>
      </c>
      <c r="J142">
        <v>191</v>
      </c>
      <c r="K142">
        <v>227</v>
      </c>
      <c r="L142" t="s">
        <v>40</v>
      </c>
      <c r="M142">
        <v>72</v>
      </c>
      <c r="N142" t="s">
        <v>16</v>
      </c>
      <c r="O142" t="s">
        <v>10</v>
      </c>
      <c r="P142" t="s">
        <v>11</v>
      </c>
      <c r="Q142">
        <v>240</v>
      </c>
      <c r="R142">
        <v>2019</v>
      </c>
      <c r="S142" t="s">
        <v>22</v>
      </c>
      <c r="T142">
        <v>30646.080000000002</v>
      </c>
      <c r="U142">
        <v>191</v>
      </c>
      <c r="V142" t="s">
        <v>16</v>
      </c>
      <c r="W142" t="s">
        <v>17</v>
      </c>
      <c r="X142">
        <v>37345.32</v>
      </c>
      <c r="Y142">
        <v>975</v>
      </c>
      <c r="Z142">
        <v>225</v>
      </c>
      <c r="AA142">
        <v>9000</v>
      </c>
      <c r="AB142">
        <v>4.1494799999999996</v>
      </c>
      <c r="AC142" t="s">
        <v>49</v>
      </c>
    </row>
    <row r="143" spans="1:29">
      <c r="A143">
        <v>315</v>
      </c>
      <c r="B143" t="s">
        <v>16</v>
      </c>
      <c r="C143" t="s">
        <v>19</v>
      </c>
      <c r="D143" t="s">
        <v>13</v>
      </c>
      <c r="E143">
        <v>140</v>
      </c>
      <c r="F143">
        <v>2021</v>
      </c>
      <c r="G143" t="s">
        <v>22</v>
      </c>
      <c r="H143">
        <v>35496</v>
      </c>
      <c r="I143">
        <v>0</v>
      </c>
      <c r="J143">
        <v>97</v>
      </c>
      <c r="K143">
        <v>269</v>
      </c>
      <c r="L143" t="s">
        <v>40</v>
      </c>
      <c r="M143">
        <v>80</v>
      </c>
      <c r="N143" t="s">
        <v>9</v>
      </c>
      <c r="O143" t="s">
        <v>10</v>
      </c>
      <c r="P143" t="s">
        <v>11</v>
      </c>
      <c r="Q143">
        <v>130</v>
      </c>
      <c r="R143">
        <v>2020</v>
      </c>
      <c r="S143" t="s">
        <v>22</v>
      </c>
      <c r="T143">
        <v>107877.5</v>
      </c>
      <c r="U143">
        <v>97</v>
      </c>
      <c r="V143" t="s">
        <v>16</v>
      </c>
      <c r="W143" t="s">
        <v>10</v>
      </c>
      <c r="X143">
        <v>37352.699999999997</v>
      </c>
      <c r="Y143">
        <v>825</v>
      </c>
      <c r="Z143">
        <v>200</v>
      </c>
      <c r="AA143">
        <v>7500</v>
      </c>
      <c r="AB143" s="1">
        <v>4.9803600000000001</v>
      </c>
      <c r="AC143" t="s">
        <v>49</v>
      </c>
    </row>
    <row r="144" spans="1:29">
      <c r="A144">
        <v>8</v>
      </c>
      <c r="B144" t="s">
        <v>9</v>
      </c>
      <c r="C144" t="s">
        <v>10</v>
      </c>
      <c r="D144" t="s">
        <v>11</v>
      </c>
      <c r="E144">
        <v>125</v>
      </c>
      <c r="F144">
        <v>2017</v>
      </c>
      <c r="G144" t="s">
        <v>22</v>
      </c>
      <c r="H144">
        <v>87868</v>
      </c>
      <c r="I144">
        <v>0</v>
      </c>
      <c r="J144">
        <v>121</v>
      </c>
      <c r="K144">
        <v>200</v>
      </c>
      <c r="L144" t="s">
        <v>40</v>
      </c>
      <c r="M144">
        <v>79</v>
      </c>
      <c r="N144" t="s">
        <v>9</v>
      </c>
      <c r="O144" t="s">
        <v>15</v>
      </c>
      <c r="P144" t="s">
        <v>11</v>
      </c>
      <c r="Q144">
        <v>170</v>
      </c>
      <c r="R144">
        <v>2019</v>
      </c>
      <c r="S144" t="s">
        <v>12</v>
      </c>
      <c r="T144">
        <v>112470.6</v>
      </c>
      <c r="U144">
        <v>121</v>
      </c>
      <c r="V144" t="s">
        <v>16</v>
      </c>
      <c r="W144" t="s">
        <v>17</v>
      </c>
      <c r="X144">
        <v>37370.300000000003</v>
      </c>
      <c r="Y144">
        <v>825</v>
      </c>
      <c r="Z144">
        <v>325</v>
      </c>
      <c r="AA144">
        <v>6000</v>
      </c>
      <c r="AB144" s="1">
        <v>6.2283833333333298</v>
      </c>
      <c r="AC144" t="s">
        <v>47</v>
      </c>
    </row>
    <row r="145" spans="1:29">
      <c r="A145">
        <v>500</v>
      </c>
      <c r="B145" t="s">
        <v>20</v>
      </c>
      <c r="C145" t="s">
        <v>15</v>
      </c>
      <c r="D145" t="s">
        <v>11</v>
      </c>
      <c r="E145">
        <v>170</v>
      </c>
      <c r="F145">
        <v>2022</v>
      </c>
      <c r="G145" t="s">
        <v>12</v>
      </c>
      <c r="H145">
        <v>121382.5</v>
      </c>
      <c r="I145">
        <v>0</v>
      </c>
      <c r="J145">
        <v>120</v>
      </c>
      <c r="K145">
        <v>385</v>
      </c>
      <c r="L145" t="s">
        <v>40</v>
      </c>
      <c r="M145">
        <v>79</v>
      </c>
      <c r="N145" t="s">
        <v>9</v>
      </c>
      <c r="O145" t="s">
        <v>10</v>
      </c>
      <c r="P145" t="s">
        <v>11</v>
      </c>
      <c r="Q145">
        <v>100</v>
      </c>
      <c r="R145">
        <v>2021</v>
      </c>
      <c r="S145" t="s">
        <v>14</v>
      </c>
      <c r="T145">
        <v>111139.2</v>
      </c>
      <c r="U145">
        <v>120</v>
      </c>
      <c r="V145" t="s">
        <v>16</v>
      </c>
      <c r="W145" t="s">
        <v>17</v>
      </c>
      <c r="X145">
        <v>37476.6</v>
      </c>
      <c r="Y145">
        <v>875</v>
      </c>
      <c r="Z145">
        <v>275</v>
      </c>
      <c r="AA145">
        <v>7200</v>
      </c>
      <c r="AB145" s="1">
        <v>5.20508333333333</v>
      </c>
      <c r="AC145" t="s">
        <v>47</v>
      </c>
    </row>
    <row r="146" spans="1:29">
      <c r="B146" t="s">
        <v>108</v>
      </c>
      <c r="C146" t="s">
        <v>108</v>
      </c>
      <c r="L146" t="s">
        <v>107</v>
      </c>
      <c r="U146">
        <v>485</v>
      </c>
      <c r="V146" t="s">
        <v>16</v>
      </c>
      <c r="W146" t="s">
        <v>19</v>
      </c>
      <c r="X146">
        <v>37522.5</v>
      </c>
      <c r="Y146">
        <v>975</v>
      </c>
      <c r="Z146">
        <v>300</v>
      </c>
      <c r="AA146">
        <v>8100</v>
      </c>
      <c r="AB146" s="1">
        <v>4.6324074074074</v>
      </c>
      <c r="AC146" t="s">
        <v>49</v>
      </c>
    </row>
    <row r="147" spans="1:29">
      <c r="A147">
        <v>120</v>
      </c>
      <c r="B147" t="s">
        <v>16</v>
      </c>
      <c r="C147" t="s">
        <v>17</v>
      </c>
      <c r="D147" t="s">
        <v>11</v>
      </c>
      <c r="E147">
        <v>100</v>
      </c>
      <c r="F147">
        <v>2018</v>
      </c>
      <c r="G147" t="s">
        <v>12</v>
      </c>
      <c r="H147">
        <v>37476.6</v>
      </c>
      <c r="I147">
        <v>0</v>
      </c>
      <c r="J147">
        <v>382</v>
      </c>
      <c r="K147">
        <v>315</v>
      </c>
      <c r="L147" t="s">
        <v>41</v>
      </c>
      <c r="M147">
        <v>58</v>
      </c>
      <c r="N147" t="s">
        <v>16</v>
      </c>
      <c r="O147" t="s">
        <v>19</v>
      </c>
      <c r="P147" t="s">
        <v>13</v>
      </c>
      <c r="Q147">
        <v>140</v>
      </c>
      <c r="R147">
        <v>2021</v>
      </c>
      <c r="S147" t="s">
        <v>22</v>
      </c>
      <c r="T147">
        <v>35496</v>
      </c>
      <c r="U147">
        <v>382</v>
      </c>
      <c r="V147" t="s">
        <v>16</v>
      </c>
      <c r="W147" t="s">
        <v>17</v>
      </c>
      <c r="X147">
        <v>37566</v>
      </c>
      <c r="Y147">
        <v>875</v>
      </c>
      <c r="Z147">
        <v>275</v>
      </c>
      <c r="AA147">
        <v>7200</v>
      </c>
      <c r="AB147">
        <v>5.2175000000000002</v>
      </c>
      <c r="AC147" t="s">
        <v>47</v>
      </c>
    </row>
    <row r="148" spans="1:29">
      <c r="A148">
        <v>410</v>
      </c>
      <c r="B148" t="s">
        <v>9</v>
      </c>
      <c r="C148" t="s">
        <v>17</v>
      </c>
      <c r="D148" t="s">
        <v>13</v>
      </c>
      <c r="E148">
        <v>140</v>
      </c>
      <c r="F148">
        <v>2022</v>
      </c>
      <c r="G148" t="s">
        <v>14</v>
      </c>
      <c r="H148">
        <v>126424.32000000001</v>
      </c>
      <c r="I148">
        <v>0</v>
      </c>
      <c r="J148">
        <v>108</v>
      </c>
      <c r="K148">
        <v>238</v>
      </c>
      <c r="L148" t="s">
        <v>40</v>
      </c>
      <c r="M148">
        <v>79</v>
      </c>
      <c r="N148" t="s">
        <v>9</v>
      </c>
      <c r="O148" t="s">
        <v>19</v>
      </c>
      <c r="P148" t="s">
        <v>11</v>
      </c>
      <c r="Q148">
        <v>170</v>
      </c>
      <c r="R148">
        <v>2019</v>
      </c>
      <c r="S148" t="s">
        <v>14</v>
      </c>
      <c r="T148">
        <v>91218.96</v>
      </c>
      <c r="U148">
        <v>108</v>
      </c>
      <c r="V148" t="s">
        <v>16</v>
      </c>
      <c r="W148" t="s">
        <v>15</v>
      </c>
      <c r="X148">
        <v>37694.910000000003</v>
      </c>
      <c r="Y148">
        <v>875</v>
      </c>
      <c r="Z148">
        <v>150</v>
      </c>
      <c r="AA148">
        <v>8700</v>
      </c>
      <c r="AB148">
        <v>4.3327482758620697</v>
      </c>
      <c r="AC148" t="s">
        <v>49</v>
      </c>
    </row>
    <row r="149" spans="1:29">
      <c r="A149">
        <v>498</v>
      </c>
      <c r="B149" t="s">
        <v>16</v>
      </c>
      <c r="C149" t="s">
        <v>17</v>
      </c>
      <c r="D149" t="s">
        <v>24</v>
      </c>
      <c r="E149">
        <v>140</v>
      </c>
      <c r="F149">
        <v>2022</v>
      </c>
      <c r="G149" t="s">
        <v>14</v>
      </c>
      <c r="H149">
        <v>35860</v>
      </c>
      <c r="I149">
        <v>0</v>
      </c>
      <c r="J149">
        <v>119</v>
      </c>
      <c r="K149">
        <v>79</v>
      </c>
      <c r="L149" t="s">
        <v>40</v>
      </c>
      <c r="M149">
        <v>79</v>
      </c>
      <c r="N149" t="s">
        <v>9</v>
      </c>
      <c r="O149" t="s">
        <v>23</v>
      </c>
      <c r="P149" t="s">
        <v>13</v>
      </c>
      <c r="Q149">
        <v>200</v>
      </c>
      <c r="R149">
        <v>2018</v>
      </c>
      <c r="S149" t="s">
        <v>22</v>
      </c>
      <c r="T149">
        <v>110904.15</v>
      </c>
      <c r="U149">
        <v>119</v>
      </c>
      <c r="V149" t="s">
        <v>16</v>
      </c>
      <c r="W149" t="s">
        <v>10</v>
      </c>
      <c r="X149">
        <v>37741.599999999999</v>
      </c>
      <c r="Y149">
        <v>875</v>
      </c>
      <c r="Z149">
        <v>200</v>
      </c>
      <c r="AA149">
        <v>8100</v>
      </c>
      <c r="AB149" s="1">
        <v>4.6594567901234498</v>
      </c>
      <c r="AC149" t="s">
        <v>49</v>
      </c>
    </row>
    <row r="150" spans="1:29">
      <c r="A150">
        <v>368</v>
      </c>
      <c r="B150" t="s">
        <v>9</v>
      </c>
      <c r="C150" t="s">
        <v>15</v>
      </c>
      <c r="D150" t="s">
        <v>13</v>
      </c>
      <c r="E150">
        <v>150</v>
      </c>
      <c r="F150">
        <v>2021</v>
      </c>
      <c r="G150" t="s">
        <v>14</v>
      </c>
      <c r="H150">
        <v>96958.8</v>
      </c>
      <c r="I150">
        <v>0</v>
      </c>
      <c r="J150">
        <v>354</v>
      </c>
      <c r="K150">
        <v>185</v>
      </c>
      <c r="L150" t="s">
        <v>41</v>
      </c>
      <c r="M150">
        <v>61</v>
      </c>
      <c r="N150" t="s">
        <v>16</v>
      </c>
      <c r="O150" t="s">
        <v>23</v>
      </c>
      <c r="P150" t="s">
        <v>11</v>
      </c>
      <c r="Q150">
        <v>110</v>
      </c>
      <c r="R150">
        <v>2019</v>
      </c>
      <c r="S150" t="s">
        <v>18</v>
      </c>
      <c r="T150">
        <v>30366.880000000001</v>
      </c>
      <c r="U150">
        <v>354</v>
      </c>
      <c r="V150" t="s">
        <v>16</v>
      </c>
      <c r="W150" t="s">
        <v>17</v>
      </c>
      <c r="X150">
        <v>37770</v>
      </c>
      <c r="Y150">
        <v>975</v>
      </c>
      <c r="Z150">
        <v>275</v>
      </c>
      <c r="AA150">
        <v>8400</v>
      </c>
      <c r="AB150" s="1">
        <v>4.4964285714285701</v>
      </c>
      <c r="AC150" t="s">
        <v>49</v>
      </c>
    </row>
    <row r="151" spans="1:29">
      <c r="A151">
        <v>465</v>
      </c>
      <c r="B151" t="s">
        <v>16</v>
      </c>
      <c r="C151" t="s">
        <v>19</v>
      </c>
      <c r="D151" t="s">
        <v>11</v>
      </c>
      <c r="E151">
        <v>150</v>
      </c>
      <c r="F151">
        <v>2022</v>
      </c>
      <c r="G151" t="s">
        <v>14</v>
      </c>
      <c r="H151">
        <v>26068.75</v>
      </c>
      <c r="I151">
        <v>0</v>
      </c>
      <c r="J151">
        <v>263</v>
      </c>
      <c r="K151">
        <v>413</v>
      </c>
      <c r="L151" t="s">
        <v>40</v>
      </c>
      <c r="M151">
        <v>67</v>
      </c>
      <c r="N151" t="s">
        <v>16</v>
      </c>
      <c r="O151" t="s">
        <v>17</v>
      </c>
      <c r="P151" t="s">
        <v>11</v>
      </c>
      <c r="Q151">
        <v>185</v>
      </c>
      <c r="R151">
        <v>2022</v>
      </c>
      <c r="S151" t="s">
        <v>18</v>
      </c>
      <c r="T151">
        <v>28665.15</v>
      </c>
      <c r="U151">
        <v>263</v>
      </c>
      <c r="V151" t="s">
        <v>16</v>
      </c>
      <c r="W151" t="s">
        <v>17</v>
      </c>
      <c r="X151">
        <v>37775</v>
      </c>
      <c r="Y151">
        <v>950</v>
      </c>
      <c r="Z151">
        <v>150</v>
      </c>
      <c r="AA151">
        <v>9600</v>
      </c>
      <c r="AB151" s="1">
        <v>3.9348958333333299</v>
      </c>
      <c r="AC151" t="s">
        <v>49</v>
      </c>
    </row>
    <row r="152" spans="1:29">
      <c r="A152">
        <v>112</v>
      </c>
      <c r="B152" t="s">
        <v>9</v>
      </c>
      <c r="C152" t="s">
        <v>17</v>
      </c>
      <c r="D152" t="s">
        <v>13</v>
      </c>
      <c r="E152">
        <v>135</v>
      </c>
      <c r="F152">
        <v>2018</v>
      </c>
      <c r="G152" t="s">
        <v>22</v>
      </c>
      <c r="H152">
        <v>108379.69</v>
      </c>
      <c r="I152">
        <v>0</v>
      </c>
      <c r="J152">
        <v>11</v>
      </c>
      <c r="K152">
        <v>252</v>
      </c>
      <c r="L152" t="s">
        <v>40</v>
      </c>
      <c r="M152">
        <v>92</v>
      </c>
      <c r="N152" t="s">
        <v>20</v>
      </c>
      <c r="O152" t="s">
        <v>15</v>
      </c>
      <c r="P152" t="s">
        <v>11</v>
      </c>
      <c r="Q152">
        <v>215</v>
      </c>
      <c r="R152">
        <v>2019</v>
      </c>
      <c r="S152" t="s">
        <v>22</v>
      </c>
      <c r="T152">
        <v>116251.26</v>
      </c>
      <c r="U152">
        <v>11</v>
      </c>
      <c r="V152" t="s">
        <v>16</v>
      </c>
      <c r="W152" t="s">
        <v>17</v>
      </c>
      <c r="X152">
        <v>37827</v>
      </c>
      <c r="Y152">
        <v>950</v>
      </c>
      <c r="Z152">
        <v>350</v>
      </c>
      <c r="AA152">
        <v>7200</v>
      </c>
      <c r="AB152">
        <v>5.2537500000000001</v>
      </c>
      <c r="AC152" t="s">
        <v>47</v>
      </c>
    </row>
    <row r="153" spans="1:29">
      <c r="A153">
        <v>378</v>
      </c>
      <c r="B153" t="s">
        <v>16</v>
      </c>
      <c r="C153" t="s">
        <v>15</v>
      </c>
      <c r="D153" t="s">
        <v>24</v>
      </c>
      <c r="E153">
        <v>135</v>
      </c>
      <c r="F153">
        <v>2021</v>
      </c>
      <c r="G153" t="s">
        <v>18</v>
      </c>
      <c r="H153">
        <v>42788.4</v>
      </c>
      <c r="I153">
        <v>0</v>
      </c>
      <c r="J153">
        <v>412</v>
      </c>
      <c r="K153">
        <v>186</v>
      </c>
      <c r="L153" t="s">
        <v>41</v>
      </c>
      <c r="M153">
        <v>55</v>
      </c>
      <c r="N153" t="s">
        <v>16</v>
      </c>
      <c r="O153" t="s">
        <v>17</v>
      </c>
      <c r="P153" t="s">
        <v>13</v>
      </c>
      <c r="Q153">
        <v>130</v>
      </c>
      <c r="R153">
        <v>2019</v>
      </c>
      <c r="S153" t="s">
        <v>22</v>
      </c>
      <c r="T153">
        <v>42161.04</v>
      </c>
      <c r="U153">
        <v>412</v>
      </c>
      <c r="V153" t="s">
        <v>16</v>
      </c>
      <c r="W153" t="s">
        <v>23</v>
      </c>
      <c r="X153">
        <v>37924.589999999997</v>
      </c>
      <c r="Y153">
        <v>875</v>
      </c>
      <c r="Z153">
        <v>350</v>
      </c>
      <c r="AA153">
        <v>6300</v>
      </c>
      <c r="AB153">
        <v>6.0197761904761897</v>
      </c>
      <c r="AC153" t="s">
        <v>47</v>
      </c>
    </row>
    <row r="154" spans="1:29">
      <c r="A154">
        <v>305</v>
      </c>
      <c r="B154" t="s">
        <v>16</v>
      </c>
      <c r="C154" t="s">
        <v>23</v>
      </c>
      <c r="D154" t="s">
        <v>11</v>
      </c>
      <c r="E154">
        <v>125</v>
      </c>
      <c r="F154">
        <v>2021</v>
      </c>
      <c r="G154" t="s">
        <v>12</v>
      </c>
      <c r="H154">
        <v>34915.199999999997</v>
      </c>
      <c r="I154">
        <v>0</v>
      </c>
      <c r="J154">
        <v>349</v>
      </c>
      <c r="K154">
        <v>470</v>
      </c>
      <c r="L154" t="s">
        <v>41</v>
      </c>
      <c r="M154">
        <v>62</v>
      </c>
      <c r="N154" t="s">
        <v>16</v>
      </c>
      <c r="O154" t="s">
        <v>15</v>
      </c>
      <c r="P154" t="s">
        <v>13</v>
      </c>
      <c r="Q154">
        <v>170</v>
      </c>
      <c r="R154">
        <v>2022</v>
      </c>
      <c r="S154" t="s">
        <v>12</v>
      </c>
      <c r="T154">
        <v>49023.75</v>
      </c>
      <c r="U154">
        <v>349</v>
      </c>
      <c r="V154" t="s">
        <v>16</v>
      </c>
      <c r="W154" t="s">
        <v>23</v>
      </c>
      <c r="X154">
        <v>37940.400000000001</v>
      </c>
      <c r="Y154">
        <v>875</v>
      </c>
      <c r="Z154">
        <v>375</v>
      </c>
      <c r="AA154">
        <v>6000</v>
      </c>
      <c r="AB154">
        <v>6.3234000000000004</v>
      </c>
      <c r="AC154" t="s">
        <v>47</v>
      </c>
    </row>
    <row r="155" spans="1:29">
      <c r="A155">
        <v>347</v>
      </c>
      <c r="B155" t="s">
        <v>9</v>
      </c>
      <c r="C155" t="s">
        <v>19</v>
      </c>
      <c r="D155" t="s">
        <v>11</v>
      </c>
      <c r="E155">
        <v>200</v>
      </c>
      <c r="F155">
        <v>2021</v>
      </c>
      <c r="G155" t="s">
        <v>18</v>
      </c>
      <c r="H155">
        <v>104378.4</v>
      </c>
      <c r="I155">
        <v>0</v>
      </c>
      <c r="J155">
        <v>98</v>
      </c>
      <c r="K155">
        <v>282</v>
      </c>
      <c r="L155" t="s">
        <v>40</v>
      </c>
      <c r="M155">
        <v>80</v>
      </c>
      <c r="N155" t="s">
        <v>9</v>
      </c>
      <c r="O155" t="s">
        <v>17</v>
      </c>
      <c r="P155" t="s">
        <v>13</v>
      </c>
      <c r="Q155">
        <v>215</v>
      </c>
      <c r="R155">
        <v>2021</v>
      </c>
      <c r="S155" t="s">
        <v>14</v>
      </c>
      <c r="T155">
        <v>114954.42</v>
      </c>
      <c r="U155">
        <v>98</v>
      </c>
      <c r="V155" t="s">
        <v>16</v>
      </c>
      <c r="W155" t="s">
        <v>10</v>
      </c>
      <c r="X155">
        <v>37945.199999999997</v>
      </c>
      <c r="Y155">
        <v>975</v>
      </c>
      <c r="Z155">
        <v>325</v>
      </c>
      <c r="AA155">
        <v>7800</v>
      </c>
      <c r="AB155" s="1">
        <v>4.8647692307692303</v>
      </c>
      <c r="AC155" t="s">
        <v>49</v>
      </c>
    </row>
    <row r="156" spans="1:29">
      <c r="A156">
        <v>33</v>
      </c>
      <c r="B156" t="s">
        <v>16</v>
      </c>
      <c r="C156" t="s">
        <v>19</v>
      </c>
      <c r="D156" t="s">
        <v>11</v>
      </c>
      <c r="E156">
        <v>160</v>
      </c>
      <c r="F156">
        <v>2017</v>
      </c>
      <c r="G156" t="s">
        <v>22</v>
      </c>
      <c r="H156">
        <v>33341</v>
      </c>
      <c r="I156">
        <v>0</v>
      </c>
      <c r="J156">
        <v>68</v>
      </c>
      <c r="K156">
        <v>421</v>
      </c>
      <c r="L156" t="s">
        <v>40</v>
      </c>
      <c r="M156">
        <v>83</v>
      </c>
      <c r="N156" t="s">
        <v>20</v>
      </c>
      <c r="O156" t="s">
        <v>15</v>
      </c>
      <c r="P156" t="s">
        <v>13</v>
      </c>
      <c r="Q156">
        <v>120</v>
      </c>
      <c r="R156">
        <v>2022</v>
      </c>
      <c r="S156" t="s">
        <v>18</v>
      </c>
      <c r="T156">
        <v>118322.31</v>
      </c>
      <c r="U156">
        <v>68</v>
      </c>
      <c r="V156" t="s">
        <v>16</v>
      </c>
      <c r="W156" t="s">
        <v>17</v>
      </c>
      <c r="X156">
        <v>37968.32</v>
      </c>
      <c r="Y156">
        <v>825</v>
      </c>
      <c r="Z156">
        <v>300</v>
      </c>
      <c r="AA156">
        <v>6300</v>
      </c>
      <c r="AB156">
        <v>6.0267174603174603</v>
      </c>
      <c r="AC156" t="s">
        <v>47</v>
      </c>
    </row>
    <row r="157" spans="1:29">
      <c r="A157">
        <v>296</v>
      </c>
      <c r="B157" t="s">
        <v>9</v>
      </c>
      <c r="C157" t="s">
        <v>15</v>
      </c>
      <c r="D157" t="s">
        <v>11</v>
      </c>
      <c r="E157">
        <v>205</v>
      </c>
      <c r="F157">
        <v>2021</v>
      </c>
      <c r="G157" t="s">
        <v>12</v>
      </c>
      <c r="H157">
        <v>106387.2</v>
      </c>
      <c r="I157">
        <v>0</v>
      </c>
      <c r="J157">
        <v>248</v>
      </c>
      <c r="K157">
        <v>440</v>
      </c>
      <c r="L157" t="s">
        <v>40</v>
      </c>
      <c r="M157">
        <v>69</v>
      </c>
      <c r="N157" t="s">
        <v>9</v>
      </c>
      <c r="O157" t="s">
        <v>17</v>
      </c>
      <c r="P157" t="s">
        <v>13</v>
      </c>
      <c r="Q157">
        <v>90</v>
      </c>
      <c r="R157">
        <v>2022</v>
      </c>
      <c r="S157" t="s">
        <v>12</v>
      </c>
      <c r="T157">
        <v>129393.54</v>
      </c>
      <c r="U157">
        <v>248</v>
      </c>
      <c r="V157" t="s">
        <v>16</v>
      </c>
      <c r="W157" t="s">
        <v>19</v>
      </c>
      <c r="X157">
        <v>38049.480000000003</v>
      </c>
      <c r="Y157">
        <v>975</v>
      </c>
      <c r="Z157">
        <v>325</v>
      </c>
      <c r="AA157">
        <v>7800</v>
      </c>
      <c r="AB157" s="1">
        <v>4.8781384615384598</v>
      </c>
      <c r="AC157" t="s">
        <v>49</v>
      </c>
    </row>
    <row r="158" spans="1:29">
      <c r="A158">
        <v>362</v>
      </c>
      <c r="B158" t="s">
        <v>9</v>
      </c>
      <c r="C158" t="s">
        <v>15</v>
      </c>
      <c r="D158" t="s">
        <v>13</v>
      </c>
      <c r="E158">
        <v>140</v>
      </c>
      <c r="F158">
        <v>2021</v>
      </c>
      <c r="G158" t="s">
        <v>22</v>
      </c>
      <c r="H158">
        <v>116605.2</v>
      </c>
      <c r="I158">
        <v>0</v>
      </c>
      <c r="J158">
        <v>353</v>
      </c>
      <c r="K158">
        <v>254</v>
      </c>
      <c r="L158" t="s">
        <v>41</v>
      </c>
      <c r="M158">
        <v>61</v>
      </c>
      <c r="N158" t="s">
        <v>16</v>
      </c>
      <c r="O158" t="s">
        <v>23</v>
      </c>
      <c r="P158" t="s">
        <v>11</v>
      </c>
      <c r="Q158">
        <v>105</v>
      </c>
      <c r="R158">
        <v>2019</v>
      </c>
      <c r="S158" t="s">
        <v>14</v>
      </c>
      <c r="T158">
        <v>29835.82</v>
      </c>
      <c r="U158">
        <v>353</v>
      </c>
      <c r="V158" t="s">
        <v>16</v>
      </c>
      <c r="W158" t="s">
        <v>19</v>
      </c>
      <c r="X158">
        <v>38110.800000000003</v>
      </c>
      <c r="Y158">
        <v>950</v>
      </c>
      <c r="Z158">
        <v>200</v>
      </c>
      <c r="AA158">
        <v>9000</v>
      </c>
      <c r="AB158" s="1">
        <v>4.2345333333333297</v>
      </c>
      <c r="AC158" t="s">
        <v>49</v>
      </c>
    </row>
    <row r="159" spans="1:29">
      <c r="B159" t="s">
        <v>108</v>
      </c>
      <c r="C159" t="s">
        <v>108</v>
      </c>
      <c r="L159" t="s">
        <v>107</v>
      </c>
      <c r="U159">
        <v>437</v>
      </c>
      <c r="V159" t="s">
        <v>16</v>
      </c>
      <c r="W159" t="s">
        <v>15</v>
      </c>
      <c r="X159">
        <v>38195.19</v>
      </c>
      <c r="Y159">
        <v>950</v>
      </c>
      <c r="Z159">
        <v>300</v>
      </c>
      <c r="AA159">
        <v>7800</v>
      </c>
      <c r="AB159" s="1">
        <v>4.8968192307692302</v>
      </c>
      <c r="AC159" t="s">
        <v>49</v>
      </c>
    </row>
    <row r="160" spans="1:29">
      <c r="B160" t="s">
        <v>108</v>
      </c>
      <c r="C160" t="s">
        <v>108</v>
      </c>
      <c r="L160" t="s">
        <v>107</v>
      </c>
      <c r="U160">
        <v>442</v>
      </c>
      <c r="V160" t="s">
        <v>16</v>
      </c>
      <c r="W160" t="s">
        <v>10</v>
      </c>
      <c r="X160">
        <v>38244.39</v>
      </c>
      <c r="Y160">
        <v>975</v>
      </c>
      <c r="Z160">
        <v>250</v>
      </c>
      <c r="AA160">
        <v>8700</v>
      </c>
      <c r="AB160" s="1">
        <v>4.3959068965517201</v>
      </c>
      <c r="AC160" t="s">
        <v>49</v>
      </c>
    </row>
    <row r="161" spans="1:29">
      <c r="A161">
        <v>221</v>
      </c>
      <c r="B161" t="s">
        <v>16</v>
      </c>
      <c r="C161" t="s">
        <v>15</v>
      </c>
      <c r="D161" t="s">
        <v>11</v>
      </c>
      <c r="E161">
        <v>145</v>
      </c>
      <c r="F161">
        <v>2019</v>
      </c>
      <c r="G161" t="s">
        <v>14</v>
      </c>
      <c r="H161">
        <v>31720.68</v>
      </c>
      <c r="I161">
        <v>0</v>
      </c>
      <c r="J161">
        <v>89</v>
      </c>
      <c r="K161">
        <v>406</v>
      </c>
      <c r="L161" t="s">
        <v>40</v>
      </c>
      <c r="M161">
        <v>82</v>
      </c>
      <c r="N161" t="s">
        <v>9</v>
      </c>
      <c r="O161" t="s">
        <v>19</v>
      </c>
      <c r="P161" t="s">
        <v>11</v>
      </c>
      <c r="Q161">
        <v>195</v>
      </c>
      <c r="R161">
        <v>2022</v>
      </c>
      <c r="S161" t="s">
        <v>14</v>
      </c>
      <c r="T161">
        <v>124720.77</v>
      </c>
      <c r="U161">
        <v>89</v>
      </c>
      <c r="V161" t="s">
        <v>16</v>
      </c>
      <c r="W161" t="s">
        <v>19</v>
      </c>
      <c r="X161">
        <v>38249.4</v>
      </c>
      <c r="Y161">
        <v>875</v>
      </c>
      <c r="Z161">
        <v>200</v>
      </c>
      <c r="AA161">
        <v>8100</v>
      </c>
      <c r="AB161" s="1">
        <v>4.7221481481481398</v>
      </c>
      <c r="AC161" t="s">
        <v>49</v>
      </c>
    </row>
    <row r="162" spans="1:29">
      <c r="A162">
        <v>371</v>
      </c>
      <c r="B162" t="s">
        <v>16</v>
      </c>
      <c r="C162" t="s">
        <v>23</v>
      </c>
      <c r="D162" t="s">
        <v>13</v>
      </c>
      <c r="E162">
        <v>135</v>
      </c>
      <c r="F162">
        <v>2021</v>
      </c>
      <c r="G162" t="s">
        <v>18</v>
      </c>
      <c r="H162" s="1">
        <v>35968.799999999901</v>
      </c>
      <c r="I162">
        <v>0</v>
      </c>
      <c r="J162">
        <v>356</v>
      </c>
      <c r="K162">
        <v>219</v>
      </c>
      <c r="L162" t="s">
        <v>41</v>
      </c>
      <c r="M162">
        <v>61</v>
      </c>
      <c r="N162" t="s">
        <v>16</v>
      </c>
      <c r="O162" t="s">
        <v>23</v>
      </c>
      <c r="P162" t="s">
        <v>11</v>
      </c>
      <c r="Q162">
        <v>110</v>
      </c>
      <c r="R162">
        <v>2019</v>
      </c>
      <c r="S162" t="s">
        <v>18</v>
      </c>
      <c r="T162">
        <v>31851.94</v>
      </c>
      <c r="U162">
        <v>356</v>
      </c>
      <c r="V162" t="s">
        <v>16</v>
      </c>
      <c r="W162" t="s">
        <v>23</v>
      </c>
      <c r="X162">
        <v>38506.800000000003</v>
      </c>
      <c r="Y162">
        <v>875</v>
      </c>
      <c r="Z162">
        <v>400</v>
      </c>
      <c r="AA162">
        <v>5700</v>
      </c>
      <c r="AB162">
        <v>6.75557894736842</v>
      </c>
      <c r="AC162" t="s">
        <v>47</v>
      </c>
    </row>
    <row r="163" spans="1:29">
      <c r="A163">
        <v>178</v>
      </c>
      <c r="B163" t="s">
        <v>9</v>
      </c>
      <c r="C163" t="s">
        <v>19</v>
      </c>
      <c r="D163" t="s">
        <v>13</v>
      </c>
      <c r="E163">
        <v>205</v>
      </c>
      <c r="F163">
        <v>2019</v>
      </c>
      <c r="G163" t="s">
        <v>22</v>
      </c>
      <c r="H163">
        <v>108794.88</v>
      </c>
      <c r="I163">
        <v>0</v>
      </c>
      <c r="J163">
        <v>336</v>
      </c>
      <c r="K163">
        <v>150</v>
      </c>
      <c r="L163" t="s">
        <v>41</v>
      </c>
      <c r="M163">
        <v>62</v>
      </c>
      <c r="N163" t="s">
        <v>16</v>
      </c>
      <c r="O163" t="s">
        <v>17</v>
      </c>
      <c r="P163" t="s">
        <v>13</v>
      </c>
      <c r="Q163">
        <v>205</v>
      </c>
      <c r="R163">
        <v>2019</v>
      </c>
      <c r="S163" t="s">
        <v>14</v>
      </c>
      <c r="T163">
        <v>26139.24</v>
      </c>
      <c r="U163">
        <v>336</v>
      </c>
      <c r="V163" t="s">
        <v>16</v>
      </c>
      <c r="W163" t="s">
        <v>19</v>
      </c>
      <c r="X163">
        <v>38684.400000000001</v>
      </c>
      <c r="Y163">
        <v>950</v>
      </c>
      <c r="Z163">
        <v>300</v>
      </c>
      <c r="AA163">
        <v>7800</v>
      </c>
      <c r="AB163" s="1">
        <v>4.9595384615384601</v>
      </c>
      <c r="AC163" t="s">
        <v>49</v>
      </c>
    </row>
    <row r="164" spans="1:29">
      <c r="B164" t="s">
        <v>108</v>
      </c>
      <c r="C164" t="s">
        <v>108</v>
      </c>
      <c r="L164" t="s">
        <v>107</v>
      </c>
      <c r="U164">
        <v>462</v>
      </c>
      <c r="V164" t="s">
        <v>16</v>
      </c>
      <c r="W164" t="s">
        <v>17</v>
      </c>
      <c r="X164">
        <v>38717.5</v>
      </c>
      <c r="Y164">
        <v>950</v>
      </c>
      <c r="Z164">
        <v>300</v>
      </c>
      <c r="AA164">
        <v>7800</v>
      </c>
      <c r="AB164" s="1">
        <v>4.9637820512820499</v>
      </c>
      <c r="AC164" t="s">
        <v>49</v>
      </c>
    </row>
    <row r="165" spans="1:29">
      <c r="A165">
        <v>4</v>
      </c>
      <c r="B165" t="s">
        <v>20</v>
      </c>
      <c r="C165" t="s">
        <v>15</v>
      </c>
      <c r="D165" t="s">
        <v>11</v>
      </c>
      <c r="E165">
        <v>200</v>
      </c>
      <c r="F165">
        <v>2017</v>
      </c>
      <c r="G165" t="s">
        <v>22</v>
      </c>
      <c r="H165">
        <v>105980</v>
      </c>
      <c r="I165">
        <v>0</v>
      </c>
      <c r="J165">
        <v>267</v>
      </c>
      <c r="K165">
        <v>157</v>
      </c>
      <c r="L165" t="s">
        <v>40</v>
      </c>
      <c r="M165">
        <v>67</v>
      </c>
      <c r="N165" t="s">
        <v>16</v>
      </c>
      <c r="O165" t="s">
        <v>15</v>
      </c>
      <c r="P165" t="s">
        <v>11</v>
      </c>
      <c r="Q165">
        <v>210</v>
      </c>
      <c r="R165">
        <v>2019</v>
      </c>
      <c r="S165" t="s">
        <v>12</v>
      </c>
      <c r="T165">
        <v>34260.26</v>
      </c>
      <c r="U165">
        <v>267</v>
      </c>
      <c r="V165" t="s">
        <v>16</v>
      </c>
      <c r="W165" t="s">
        <v>19</v>
      </c>
      <c r="X165">
        <v>38785</v>
      </c>
      <c r="Y165">
        <v>975</v>
      </c>
      <c r="Z165">
        <v>350</v>
      </c>
      <c r="AA165">
        <v>7500</v>
      </c>
      <c r="AB165" s="1">
        <v>5.1713333333333296</v>
      </c>
      <c r="AC165" t="s">
        <v>47</v>
      </c>
    </row>
    <row r="166" spans="1:29">
      <c r="A166">
        <v>45</v>
      </c>
      <c r="B166" t="s">
        <v>16</v>
      </c>
      <c r="C166" t="s">
        <v>19</v>
      </c>
      <c r="D166" t="s">
        <v>13</v>
      </c>
      <c r="E166">
        <v>190</v>
      </c>
      <c r="F166">
        <v>2018</v>
      </c>
      <c r="G166" t="s">
        <v>14</v>
      </c>
      <c r="H166">
        <v>22866</v>
      </c>
      <c r="I166">
        <v>0</v>
      </c>
      <c r="J166">
        <v>270</v>
      </c>
      <c r="K166">
        <v>463</v>
      </c>
      <c r="L166" t="s">
        <v>40</v>
      </c>
      <c r="M166">
        <v>67</v>
      </c>
      <c r="N166" t="s">
        <v>16</v>
      </c>
      <c r="O166" t="s">
        <v>17</v>
      </c>
      <c r="P166" t="s">
        <v>11</v>
      </c>
      <c r="Q166">
        <v>180</v>
      </c>
      <c r="R166">
        <v>2022</v>
      </c>
      <c r="S166" t="s">
        <v>18</v>
      </c>
      <c r="T166">
        <v>37098.75</v>
      </c>
      <c r="U166">
        <v>270</v>
      </c>
      <c r="V166" t="s">
        <v>16</v>
      </c>
      <c r="W166" t="s">
        <v>17</v>
      </c>
      <c r="X166">
        <v>39086.25</v>
      </c>
      <c r="Y166">
        <v>950</v>
      </c>
      <c r="Z166">
        <v>350</v>
      </c>
      <c r="AA166">
        <v>7200</v>
      </c>
      <c r="AB166" s="1">
        <v>5.4286458333333298</v>
      </c>
      <c r="AC166" t="s">
        <v>47</v>
      </c>
    </row>
    <row r="167" spans="1:29">
      <c r="A167">
        <v>65</v>
      </c>
      <c r="B167" t="s">
        <v>9</v>
      </c>
      <c r="C167" t="s">
        <v>17</v>
      </c>
      <c r="D167" t="s">
        <v>13</v>
      </c>
      <c r="E167">
        <v>155</v>
      </c>
      <c r="F167">
        <v>2018</v>
      </c>
      <c r="G167" t="s">
        <v>14</v>
      </c>
      <c r="H167">
        <v>107742.12</v>
      </c>
      <c r="I167">
        <v>0</v>
      </c>
      <c r="J167">
        <v>375</v>
      </c>
      <c r="K167">
        <v>375</v>
      </c>
      <c r="L167" t="s">
        <v>41</v>
      </c>
      <c r="M167">
        <v>59</v>
      </c>
      <c r="N167" t="s">
        <v>16</v>
      </c>
      <c r="O167" t="s">
        <v>19</v>
      </c>
      <c r="P167" t="s">
        <v>11</v>
      </c>
      <c r="Q167">
        <v>115</v>
      </c>
      <c r="R167">
        <v>2021</v>
      </c>
      <c r="S167" t="s">
        <v>18</v>
      </c>
      <c r="T167">
        <v>39402</v>
      </c>
      <c r="U167">
        <v>375</v>
      </c>
      <c r="V167" t="s">
        <v>16</v>
      </c>
      <c r="W167" t="s">
        <v>19</v>
      </c>
      <c r="X167">
        <v>39402</v>
      </c>
      <c r="Y167">
        <v>825</v>
      </c>
      <c r="Z167">
        <v>150</v>
      </c>
      <c r="AA167">
        <v>8100</v>
      </c>
      <c r="AB167" s="1">
        <v>4.8644444444444401</v>
      </c>
      <c r="AC167" t="s">
        <v>49</v>
      </c>
    </row>
    <row r="168" spans="1:29">
      <c r="A168">
        <v>176</v>
      </c>
      <c r="B168" t="s">
        <v>9</v>
      </c>
      <c r="C168" t="s">
        <v>10</v>
      </c>
      <c r="D168" t="s">
        <v>11</v>
      </c>
      <c r="E168">
        <v>210</v>
      </c>
      <c r="F168">
        <v>2019</v>
      </c>
      <c r="G168" t="s">
        <v>22</v>
      </c>
      <c r="H168">
        <v>95966.04</v>
      </c>
      <c r="I168">
        <v>0</v>
      </c>
      <c r="J168">
        <v>389</v>
      </c>
      <c r="K168">
        <v>153</v>
      </c>
      <c r="L168" t="s">
        <v>41</v>
      </c>
      <c r="M168">
        <v>56</v>
      </c>
      <c r="N168" t="s">
        <v>16</v>
      </c>
      <c r="O168" t="s">
        <v>19</v>
      </c>
      <c r="P168" t="s">
        <v>11</v>
      </c>
      <c r="Q168">
        <v>105</v>
      </c>
      <c r="R168">
        <v>2019</v>
      </c>
      <c r="S168" t="s">
        <v>22</v>
      </c>
      <c r="T168" s="1">
        <v>21612.959999999999</v>
      </c>
      <c r="U168">
        <v>389</v>
      </c>
      <c r="V168" t="s">
        <v>16</v>
      </c>
      <c r="W168" t="s">
        <v>17</v>
      </c>
      <c r="X168">
        <v>39584.400000000001</v>
      </c>
      <c r="Y168">
        <v>825</v>
      </c>
      <c r="Z168">
        <v>375</v>
      </c>
      <c r="AA168">
        <v>5400</v>
      </c>
      <c r="AB168" s="1">
        <v>7.3304444444444403</v>
      </c>
      <c r="AC168" t="s">
        <v>47</v>
      </c>
    </row>
    <row r="169" spans="1:29">
      <c r="A169">
        <v>79</v>
      </c>
      <c r="B169" t="s">
        <v>9</v>
      </c>
      <c r="C169" t="s">
        <v>23</v>
      </c>
      <c r="D169" t="s">
        <v>13</v>
      </c>
      <c r="E169">
        <v>200</v>
      </c>
      <c r="F169">
        <v>2018</v>
      </c>
      <c r="G169" t="s">
        <v>22</v>
      </c>
      <c r="H169">
        <v>110904.15</v>
      </c>
      <c r="I169">
        <v>0</v>
      </c>
      <c r="J169">
        <v>272</v>
      </c>
      <c r="K169">
        <v>420</v>
      </c>
      <c r="L169" t="s">
        <v>40</v>
      </c>
      <c r="M169">
        <v>67</v>
      </c>
      <c r="N169" t="s">
        <v>16</v>
      </c>
      <c r="O169" t="s">
        <v>23</v>
      </c>
      <c r="P169" t="s">
        <v>13</v>
      </c>
      <c r="Q169">
        <v>180</v>
      </c>
      <c r="R169">
        <v>2022</v>
      </c>
      <c r="S169" t="s">
        <v>14</v>
      </c>
      <c r="T169">
        <v>37131.24</v>
      </c>
      <c r="U169">
        <v>272</v>
      </c>
      <c r="V169" t="s">
        <v>16</v>
      </c>
      <c r="W169" t="s">
        <v>23</v>
      </c>
      <c r="X169">
        <v>39625</v>
      </c>
      <c r="Y169">
        <v>975</v>
      </c>
      <c r="Z169">
        <v>400</v>
      </c>
      <c r="AA169">
        <v>6900</v>
      </c>
      <c r="AB169" s="1">
        <v>5.7427536231884</v>
      </c>
      <c r="AC169" t="s">
        <v>47</v>
      </c>
    </row>
    <row r="170" spans="1:29">
      <c r="A170">
        <v>21</v>
      </c>
      <c r="B170" t="s">
        <v>9</v>
      </c>
      <c r="C170" t="s">
        <v>19</v>
      </c>
      <c r="D170" t="s">
        <v>11</v>
      </c>
      <c r="E170">
        <v>175</v>
      </c>
      <c r="F170">
        <v>2017</v>
      </c>
      <c r="G170" t="s">
        <v>12</v>
      </c>
      <c r="H170">
        <v>104788</v>
      </c>
      <c r="I170">
        <v>0</v>
      </c>
      <c r="J170">
        <v>169</v>
      </c>
      <c r="K170">
        <v>241</v>
      </c>
      <c r="L170" t="s">
        <v>40</v>
      </c>
      <c r="M170">
        <v>75</v>
      </c>
      <c r="N170" t="s">
        <v>9</v>
      </c>
      <c r="O170" t="s">
        <v>19</v>
      </c>
      <c r="P170" t="s">
        <v>11</v>
      </c>
      <c r="Q170">
        <v>155</v>
      </c>
      <c r="R170">
        <v>2019</v>
      </c>
      <c r="S170" t="s">
        <v>18</v>
      </c>
      <c r="T170">
        <v>109946.16</v>
      </c>
      <c r="U170">
        <v>169</v>
      </c>
      <c r="V170" t="s">
        <v>16</v>
      </c>
      <c r="W170" t="s">
        <v>10</v>
      </c>
      <c r="X170">
        <v>39719.160000000003</v>
      </c>
      <c r="Y170">
        <v>975</v>
      </c>
      <c r="Z170">
        <v>325</v>
      </c>
      <c r="AA170">
        <v>7800</v>
      </c>
      <c r="AB170">
        <v>5.0922000000000001</v>
      </c>
      <c r="AC170" t="s">
        <v>47</v>
      </c>
    </row>
    <row r="171" spans="1:29">
      <c r="A171">
        <v>272</v>
      </c>
      <c r="B171" t="s">
        <v>16</v>
      </c>
      <c r="C171" t="s">
        <v>23</v>
      </c>
      <c r="D171" t="s">
        <v>11</v>
      </c>
      <c r="E171">
        <v>165</v>
      </c>
      <c r="F171">
        <v>2020</v>
      </c>
      <c r="G171" t="s">
        <v>22</v>
      </c>
      <c r="H171">
        <v>39625</v>
      </c>
      <c r="I171">
        <v>0</v>
      </c>
      <c r="J171">
        <v>148</v>
      </c>
      <c r="K171">
        <v>348</v>
      </c>
      <c r="L171" t="s">
        <v>40</v>
      </c>
      <c r="M171">
        <v>77</v>
      </c>
      <c r="N171" t="s">
        <v>9</v>
      </c>
      <c r="O171" t="s">
        <v>15</v>
      </c>
      <c r="P171" t="s">
        <v>13</v>
      </c>
      <c r="Q171">
        <v>185</v>
      </c>
      <c r="R171">
        <v>2021</v>
      </c>
      <c r="S171" t="s">
        <v>22</v>
      </c>
      <c r="T171">
        <v>123667.2</v>
      </c>
      <c r="U171">
        <v>148</v>
      </c>
      <c r="V171" t="s">
        <v>16</v>
      </c>
      <c r="W171" t="s">
        <v>10</v>
      </c>
      <c r="X171">
        <v>39775.32</v>
      </c>
      <c r="Y171">
        <v>975</v>
      </c>
      <c r="Z171">
        <v>175</v>
      </c>
      <c r="AA171">
        <v>9600</v>
      </c>
      <c r="AB171">
        <v>4.1432624999999996</v>
      </c>
      <c r="AC171" t="s">
        <v>49</v>
      </c>
    </row>
    <row r="172" spans="1:29">
      <c r="A172">
        <v>96</v>
      </c>
      <c r="B172" t="s">
        <v>9</v>
      </c>
      <c r="C172" t="s">
        <v>10</v>
      </c>
      <c r="D172" t="s">
        <v>11</v>
      </c>
      <c r="E172">
        <v>240</v>
      </c>
      <c r="F172">
        <v>2018</v>
      </c>
      <c r="G172" t="s">
        <v>14</v>
      </c>
      <c r="H172">
        <v>112532.16</v>
      </c>
      <c r="I172">
        <v>0</v>
      </c>
      <c r="J172">
        <v>331</v>
      </c>
      <c r="K172">
        <v>329</v>
      </c>
      <c r="L172" t="s">
        <v>41</v>
      </c>
      <c r="M172">
        <v>63</v>
      </c>
      <c r="N172" t="s">
        <v>16</v>
      </c>
      <c r="O172" t="s">
        <v>10</v>
      </c>
      <c r="P172" t="s">
        <v>13</v>
      </c>
      <c r="Q172">
        <v>120</v>
      </c>
      <c r="R172">
        <v>2021</v>
      </c>
      <c r="S172" t="s">
        <v>14</v>
      </c>
      <c r="T172">
        <v>46294.8</v>
      </c>
      <c r="U172">
        <v>331</v>
      </c>
      <c r="V172" t="s">
        <v>16</v>
      </c>
      <c r="W172" t="s">
        <v>19</v>
      </c>
      <c r="X172">
        <v>39892.800000000003</v>
      </c>
      <c r="Y172">
        <v>975</v>
      </c>
      <c r="Z172">
        <v>225</v>
      </c>
      <c r="AA172">
        <v>9000</v>
      </c>
      <c r="AB172" s="1">
        <v>4.4325333333333301</v>
      </c>
      <c r="AC172" t="s">
        <v>49</v>
      </c>
    </row>
    <row r="173" spans="1:29">
      <c r="B173" t="s">
        <v>108</v>
      </c>
      <c r="C173" t="s">
        <v>108</v>
      </c>
      <c r="L173" t="s">
        <v>107</v>
      </c>
      <c r="U173">
        <v>490</v>
      </c>
      <c r="V173" t="s">
        <v>16</v>
      </c>
      <c r="W173" t="s">
        <v>17</v>
      </c>
      <c r="X173">
        <v>40152.5</v>
      </c>
      <c r="Y173">
        <v>825</v>
      </c>
      <c r="Z173">
        <v>325</v>
      </c>
      <c r="AA173">
        <v>6000</v>
      </c>
      <c r="AB173" s="1">
        <v>6.6920833333333301</v>
      </c>
      <c r="AC173" t="s">
        <v>47</v>
      </c>
    </row>
    <row r="174" spans="1:29">
      <c r="A174">
        <v>240</v>
      </c>
      <c r="B174" t="s">
        <v>16</v>
      </c>
      <c r="C174" t="s">
        <v>19</v>
      </c>
      <c r="D174" t="s">
        <v>13</v>
      </c>
      <c r="E174">
        <v>110</v>
      </c>
      <c r="F174">
        <v>2019</v>
      </c>
      <c r="G174" t="s">
        <v>14</v>
      </c>
      <c r="H174">
        <v>35835.42</v>
      </c>
      <c r="I174">
        <v>0</v>
      </c>
      <c r="J174">
        <v>143</v>
      </c>
      <c r="K174">
        <v>300</v>
      </c>
      <c r="L174" t="s">
        <v>40</v>
      </c>
      <c r="M174">
        <v>77</v>
      </c>
      <c r="N174" t="s">
        <v>9</v>
      </c>
      <c r="O174" t="s">
        <v>15</v>
      </c>
      <c r="P174" t="s">
        <v>13</v>
      </c>
      <c r="Q174">
        <v>190</v>
      </c>
      <c r="R174">
        <v>2021</v>
      </c>
      <c r="S174" t="s">
        <v>22</v>
      </c>
      <c r="T174">
        <v>98055.6</v>
      </c>
      <c r="U174">
        <v>143</v>
      </c>
      <c r="V174" t="s">
        <v>16</v>
      </c>
      <c r="W174" t="s">
        <v>17</v>
      </c>
      <c r="X174">
        <v>40195.440000000002</v>
      </c>
      <c r="Y174">
        <v>875</v>
      </c>
      <c r="Z174">
        <v>325</v>
      </c>
      <c r="AA174">
        <v>6600</v>
      </c>
      <c r="AB174" s="1">
        <v>6.0902181818181802</v>
      </c>
      <c r="AC174" t="s">
        <v>47</v>
      </c>
    </row>
    <row r="175" spans="1:29">
      <c r="A175">
        <v>235</v>
      </c>
      <c r="B175" t="s">
        <v>9</v>
      </c>
      <c r="C175" t="s">
        <v>23</v>
      </c>
      <c r="D175" t="s">
        <v>11</v>
      </c>
      <c r="E175">
        <v>205</v>
      </c>
      <c r="F175">
        <v>2019</v>
      </c>
      <c r="G175" t="s">
        <v>12</v>
      </c>
      <c r="H175">
        <v>105589.78</v>
      </c>
      <c r="I175">
        <v>0</v>
      </c>
      <c r="J175">
        <v>90</v>
      </c>
      <c r="K175">
        <v>471</v>
      </c>
      <c r="L175" t="s">
        <v>40</v>
      </c>
      <c r="M175">
        <v>82</v>
      </c>
      <c r="N175" t="s">
        <v>9</v>
      </c>
      <c r="O175" t="s">
        <v>19</v>
      </c>
      <c r="P175" t="s">
        <v>11</v>
      </c>
      <c r="Q175">
        <v>185</v>
      </c>
      <c r="R175">
        <v>2022</v>
      </c>
      <c r="S175" t="s">
        <v>18</v>
      </c>
      <c r="T175">
        <v>133112.5</v>
      </c>
      <c r="U175">
        <v>90</v>
      </c>
      <c r="V175" t="s">
        <v>16</v>
      </c>
      <c r="W175" t="s">
        <v>15</v>
      </c>
      <c r="X175">
        <v>40276.089999999997</v>
      </c>
      <c r="Y175">
        <v>950</v>
      </c>
      <c r="Z175">
        <v>350</v>
      </c>
      <c r="AA175">
        <v>7200</v>
      </c>
      <c r="AB175">
        <v>5.5939013888888898</v>
      </c>
      <c r="AC175" t="s">
        <v>47</v>
      </c>
    </row>
    <row r="176" spans="1:29">
      <c r="A176">
        <v>147</v>
      </c>
      <c r="B176" t="s">
        <v>16</v>
      </c>
      <c r="C176" t="s">
        <v>23</v>
      </c>
      <c r="D176" t="s">
        <v>11</v>
      </c>
      <c r="E176">
        <v>205</v>
      </c>
      <c r="F176">
        <v>2019</v>
      </c>
      <c r="G176" t="s">
        <v>12</v>
      </c>
      <c r="H176">
        <v>28147.9</v>
      </c>
      <c r="I176">
        <v>0</v>
      </c>
      <c r="J176">
        <v>80</v>
      </c>
      <c r="K176">
        <v>339</v>
      </c>
      <c r="L176" t="s">
        <v>40</v>
      </c>
      <c r="M176">
        <v>82</v>
      </c>
      <c r="N176" t="s">
        <v>9</v>
      </c>
      <c r="O176" t="s">
        <v>15</v>
      </c>
      <c r="P176" t="s">
        <v>11</v>
      </c>
      <c r="Q176">
        <v>195</v>
      </c>
      <c r="R176">
        <v>2021</v>
      </c>
      <c r="S176" t="s">
        <v>14</v>
      </c>
      <c r="T176">
        <v>111172.8</v>
      </c>
      <c r="U176">
        <v>80</v>
      </c>
      <c r="V176" t="s">
        <v>16</v>
      </c>
      <c r="W176" t="s">
        <v>19</v>
      </c>
      <c r="X176">
        <v>40431.300000000003</v>
      </c>
      <c r="Y176">
        <v>875</v>
      </c>
      <c r="Z176">
        <v>275</v>
      </c>
      <c r="AA176">
        <v>7200</v>
      </c>
      <c r="AB176" s="1">
        <v>5.6154583333333301</v>
      </c>
      <c r="AC176" t="s">
        <v>47</v>
      </c>
    </row>
    <row r="177" spans="1:29">
      <c r="A177">
        <v>366</v>
      </c>
      <c r="B177" t="s">
        <v>16</v>
      </c>
      <c r="C177" t="s">
        <v>19</v>
      </c>
      <c r="D177" t="s">
        <v>11</v>
      </c>
      <c r="E177">
        <v>150</v>
      </c>
      <c r="F177">
        <v>2021</v>
      </c>
      <c r="G177" t="s">
        <v>12</v>
      </c>
      <c r="H177">
        <v>46180.800000000003</v>
      </c>
      <c r="I177">
        <v>0</v>
      </c>
      <c r="J177">
        <v>306</v>
      </c>
      <c r="K177">
        <v>245</v>
      </c>
      <c r="L177" t="s">
        <v>41</v>
      </c>
      <c r="M177">
        <v>64</v>
      </c>
      <c r="N177" t="s">
        <v>16</v>
      </c>
      <c r="O177" t="s">
        <v>23</v>
      </c>
      <c r="P177" t="s">
        <v>13</v>
      </c>
      <c r="Q177">
        <v>175</v>
      </c>
      <c r="R177">
        <v>2019</v>
      </c>
      <c r="S177" t="s">
        <v>22</v>
      </c>
      <c r="T177">
        <v>27254.880000000001</v>
      </c>
      <c r="U177">
        <v>306</v>
      </c>
      <c r="V177" t="s">
        <v>16</v>
      </c>
      <c r="W177" t="s">
        <v>15</v>
      </c>
      <c r="X177">
        <v>40851.599999999999</v>
      </c>
      <c r="Y177">
        <v>825</v>
      </c>
      <c r="Z177">
        <v>150</v>
      </c>
      <c r="AA177">
        <v>8100</v>
      </c>
      <c r="AB177" s="1">
        <v>5.0434074074073996</v>
      </c>
      <c r="AC177" t="s">
        <v>47</v>
      </c>
    </row>
    <row r="178" spans="1:29">
      <c r="A178">
        <v>389</v>
      </c>
      <c r="B178" t="s">
        <v>16</v>
      </c>
      <c r="C178" t="s">
        <v>17</v>
      </c>
      <c r="D178" t="s">
        <v>11</v>
      </c>
      <c r="E178">
        <v>135</v>
      </c>
      <c r="F178">
        <v>2021</v>
      </c>
      <c r="G178" t="s">
        <v>18</v>
      </c>
      <c r="H178">
        <v>39584.400000000001</v>
      </c>
      <c r="I178">
        <v>0</v>
      </c>
      <c r="J178">
        <v>309</v>
      </c>
      <c r="K178">
        <v>29</v>
      </c>
      <c r="L178" t="s">
        <v>41</v>
      </c>
      <c r="M178">
        <v>64</v>
      </c>
      <c r="N178" t="s">
        <v>16</v>
      </c>
      <c r="O178" t="s">
        <v>17</v>
      </c>
      <c r="P178" t="s">
        <v>11</v>
      </c>
      <c r="Q178">
        <v>220</v>
      </c>
      <c r="R178">
        <v>2017</v>
      </c>
      <c r="S178" t="s">
        <v>22</v>
      </c>
      <c r="T178">
        <v>29622</v>
      </c>
      <c r="U178">
        <v>309</v>
      </c>
      <c r="V178" t="s">
        <v>16</v>
      </c>
      <c r="W178" t="s">
        <v>23</v>
      </c>
      <c r="X178">
        <v>41137.199999999997</v>
      </c>
      <c r="Y178">
        <v>875</v>
      </c>
      <c r="Z178">
        <v>300</v>
      </c>
      <c r="AA178">
        <v>6900</v>
      </c>
      <c r="AB178">
        <v>5.9619130434782601</v>
      </c>
      <c r="AC178" t="s">
        <v>47</v>
      </c>
    </row>
    <row r="179" spans="1:29">
      <c r="B179" t="s">
        <v>108</v>
      </c>
      <c r="C179" t="s">
        <v>108</v>
      </c>
      <c r="L179" t="s">
        <v>107</v>
      </c>
      <c r="U179">
        <v>432</v>
      </c>
      <c r="V179" t="s">
        <v>16</v>
      </c>
      <c r="W179" t="s">
        <v>15</v>
      </c>
      <c r="X179">
        <v>41217.300000000003</v>
      </c>
      <c r="Y179">
        <v>825</v>
      </c>
      <c r="Z179">
        <v>275</v>
      </c>
      <c r="AA179">
        <v>6600</v>
      </c>
      <c r="AB179" s="1">
        <v>6.2450454545454503</v>
      </c>
      <c r="AC179" t="s">
        <v>47</v>
      </c>
    </row>
    <row r="180" spans="1:29">
      <c r="A180">
        <v>279</v>
      </c>
      <c r="B180" t="s">
        <v>16</v>
      </c>
      <c r="C180" t="s">
        <v>23</v>
      </c>
      <c r="D180" t="s">
        <v>11</v>
      </c>
      <c r="E180">
        <v>115</v>
      </c>
      <c r="F180">
        <v>2021</v>
      </c>
      <c r="G180" t="s">
        <v>14</v>
      </c>
      <c r="H180">
        <v>45005.2</v>
      </c>
      <c r="I180">
        <v>0</v>
      </c>
      <c r="J180">
        <v>346</v>
      </c>
      <c r="K180">
        <v>263</v>
      </c>
      <c r="L180" t="s">
        <v>41</v>
      </c>
      <c r="M180">
        <v>62</v>
      </c>
      <c r="N180" t="s">
        <v>16</v>
      </c>
      <c r="O180" t="s">
        <v>17</v>
      </c>
      <c r="P180" t="s">
        <v>13</v>
      </c>
      <c r="Q180">
        <v>245</v>
      </c>
      <c r="R180">
        <v>2020</v>
      </c>
      <c r="S180" t="s">
        <v>14</v>
      </c>
      <c r="T180">
        <v>37775</v>
      </c>
      <c r="U180">
        <v>346</v>
      </c>
      <c r="V180" t="s">
        <v>16</v>
      </c>
      <c r="W180" t="s">
        <v>23</v>
      </c>
      <c r="X180">
        <v>41354.400000000001</v>
      </c>
      <c r="Y180">
        <v>875</v>
      </c>
      <c r="Z180">
        <v>275</v>
      </c>
      <c r="AA180">
        <v>7200</v>
      </c>
      <c r="AB180" s="1">
        <v>5.7436666666666598</v>
      </c>
      <c r="AC180" t="s">
        <v>47</v>
      </c>
    </row>
    <row r="181" spans="1:29">
      <c r="A181">
        <v>247</v>
      </c>
      <c r="B181" t="s">
        <v>16</v>
      </c>
      <c r="C181" t="s">
        <v>23</v>
      </c>
      <c r="D181" t="s">
        <v>11</v>
      </c>
      <c r="E181">
        <v>200</v>
      </c>
      <c r="F181">
        <v>2019</v>
      </c>
      <c r="G181" t="s">
        <v>18</v>
      </c>
      <c r="H181">
        <v>30556.44</v>
      </c>
      <c r="I181">
        <v>0</v>
      </c>
      <c r="J181">
        <v>289</v>
      </c>
      <c r="K181">
        <v>112</v>
      </c>
      <c r="L181" t="s">
        <v>40</v>
      </c>
      <c r="M181">
        <v>67</v>
      </c>
      <c r="N181" t="s">
        <v>9</v>
      </c>
      <c r="O181" t="s">
        <v>17</v>
      </c>
      <c r="P181" t="s">
        <v>13</v>
      </c>
      <c r="Q181">
        <v>135</v>
      </c>
      <c r="R181">
        <v>2018</v>
      </c>
      <c r="S181" t="s">
        <v>22</v>
      </c>
      <c r="T181">
        <v>108379.69</v>
      </c>
      <c r="U181">
        <v>289</v>
      </c>
      <c r="V181" t="s">
        <v>16</v>
      </c>
      <c r="W181" t="s">
        <v>17</v>
      </c>
      <c r="X181">
        <v>41454</v>
      </c>
      <c r="Y181">
        <v>875</v>
      </c>
      <c r="Z181">
        <v>325</v>
      </c>
      <c r="AA181">
        <v>6600</v>
      </c>
      <c r="AB181" s="1">
        <v>6.2809090909090903</v>
      </c>
      <c r="AC181" t="s">
        <v>47</v>
      </c>
    </row>
    <row r="182" spans="1:29">
      <c r="B182" t="s">
        <v>108</v>
      </c>
      <c r="C182" t="s">
        <v>108</v>
      </c>
      <c r="L182" t="s">
        <v>107</v>
      </c>
      <c r="U182">
        <v>460</v>
      </c>
      <c r="V182" t="s">
        <v>16</v>
      </c>
      <c r="W182" t="s">
        <v>23</v>
      </c>
      <c r="X182">
        <v>41480.519999999997</v>
      </c>
      <c r="Y182">
        <v>975</v>
      </c>
      <c r="Z182">
        <v>150</v>
      </c>
      <c r="AA182">
        <v>9900</v>
      </c>
      <c r="AB182" s="1">
        <v>4.1899515151515097</v>
      </c>
      <c r="AC182" t="s">
        <v>49</v>
      </c>
    </row>
    <row r="183" spans="1:29">
      <c r="A183">
        <v>137</v>
      </c>
      <c r="B183" t="s">
        <v>9</v>
      </c>
      <c r="C183" t="s">
        <v>19</v>
      </c>
      <c r="D183" t="s">
        <v>11</v>
      </c>
      <c r="E183">
        <v>170</v>
      </c>
      <c r="F183">
        <v>2019</v>
      </c>
      <c r="G183" t="s">
        <v>12</v>
      </c>
      <c r="H183">
        <v>91494.36</v>
      </c>
      <c r="I183">
        <v>0</v>
      </c>
      <c r="J183">
        <v>231</v>
      </c>
      <c r="K183">
        <v>416</v>
      </c>
      <c r="L183" t="s">
        <v>40</v>
      </c>
      <c r="M183">
        <v>70</v>
      </c>
      <c r="N183" t="s">
        <v>16</v>
      </c>
      <c r="O183" t="s">
        <v>10</v>
      </c>
      <c r="P183" t="s">
        <v>13</v>
      </c>
      <c r="Q183">
        <v>230</v>
      </c>
      <c r="R183">
        <v>2022</v>
      </c>
      <c r="S183" t="s">
        <v>12</v>
      </c>
      <c r="T183">
        <v>42002.04</v>
      </c>
      <c r="U183">
        <v>231</v>
      </c>
      <c r="V183" t="s">
        <v>16</v>
      </c>
      <c r="W183" t="s">
        <v>23</v>
      </c>
      <c r="X183">
        <v>41497.94</v>
      </c>
      <c r="Y183">
        <v>875</v>
      </c>
      <c r="Z183">
        <v>250</v>
      </c>
      <c r="AA183">
        <v>7500</v>
      </c>
      <c r="AB183" s="1">
        <v>5.5330586666666601</v>
      </c>
      <c r="AC183" t="s">
        <v>47</v>
      </c>
    </row>
    <row r="184" spans="1:29">
      <c r="A184">
        <v>153</v>
      </c>
      <c r="B184" t="s">
        <v>16</v>
      </c>
      <c r="C184" t="s">
        <v>19</v>
      </c>
      <c r="D184" t="s">
        <v>11</v>
      </c>
      <c r="E184">
        <v>105</v>
      </c>
      <c r="F184">
        <v>2019</v>
      </c>
      <c r="G184" t="s">
        <v>22</v>
      </c>
      <c r="H184" s="1" t="s">
        <v>36</v>
      </c>
      <c r="I184">
        <v>0</v>
      </c>
      <c r="J184">
        <v>387</v>
      </c>
      <c r="K184">
        <v>88</v>
      </c>
      <c r="L184" t="s">
        <v>41</v>
      </c>
      <c r="M184">
        <v>57</v>
      </c>
      <c r="N184" t="s">
        <v>16</v>
      </c>
      <c r="O184" t="s">
        <v>23</v>
      </c>
      <c r="P184" t="s">
        <v>13</v>
      </c>
      <c r="Q184">
        <v>130</v>
      </c>
      <c r="R184">
        <v>2018</v>
      </c>
      <c r="S184" t="s">
        <v>14</v>
      </c>
      <c r="T184">
        <v>28656.66</v>
      </c>
      <c r="U184">
        <v>387</v>
      </c>
      <c r="V184" t="s">
        <v>16</v>
      </c>
      <c r="W184" t="s">
        <v>23</v>
      </c>
      <c r="X184">
        <v>41523.599999999999</v>
      </c>
      <c r="Y184">
        <v>875</v>
      </c>
      <c r="Z184">
        <v>150</v>
      </c>
      <c r="AA184">
        <v>8700</v>
      </c>
      <c r="AB184" s="1">
        <v>4.7728275862068896</v>
      </c>
      <c r="AC184" t="s">
        <v>49</v>
      </c>
    </row>
    <row r="185" spans="1:29">
      <c r="B185" t="s">
        <v>108</v>
      </c>
      <c r="C185" t="s">
        <v>108</v>
      </c>
      <c r="L185" t="s">
        <v>107</v>
      </c>
      <c r="U185">
        <v>428</v>
      </c>
      <c r="V185" t="s">
        <v>16</v>
      </c>
      <c r="W185" t="s">
        <v>15</v>
      </c>
      <c r="X185">
        <v>41653.949999999997</v>
      </c>
      <c r="Y185">
        <v>825</v>
      </c>
      <c r="Z185">
        <v>225</v>
      </c>
      <c r="AA185">
        <v>7200</v>
      </c>
      <c r="AB185" s="1">
        <v>5.78527083333333</v>
      </c>
      <c r="AC185" t="s">
        <v>47</v>
      </c>
    </row>
    <row r="186" spans="1:29">
      <c r="A186">
        <v>278</v>
      </c>
      <c r="B186" t="s">
        <v>16</v>
      </c>
      <c r="C186" t="s">
        <v>15</v>
      </c>
      <c r="D186" t="s">
        <v>11</v>
      </c>
      <c r="E186">
        <v>185</v>
      </c>
      <c r="F186">
        <v>2021</v>
      </c>
      <c r="G186" t="s">
        <v>18</v>
      </c>
      <c r="H186">
        <v>23819.48</v>
      </c>
      <c r="I186">
        <v>0</v>
      </c>
      <c r="J186">
        <v>244</v>
      </c>
      <c r="K186">
        <v>101</v>
      </c>
      <c r="L186" t="s">
        <v>40</v>
      </c>
      <c r="M186">
        <v>69</v>
      </c>
      <c r="N186" t="s">
        <v>20</v>
      </c>
      <c r="O186" t="s">
        <v>15</v>
      </c>
      <c r="P186" t="s">
        <v>21</v>
      </c>
      <c r="Q186">
        <v>240</v>
      </c>
      <c r="R186">
        <v>2018</v>
      </c>
      <c r="S186" t="s">
        <v>14</v>
      </c>
      <c r="T186">
        <v>106028</v>
      </c>
      <c r="U186">
        <v>244</v>
      </c>
      <c r="V186" t="s">
        <v>16</v>
      </c>
      <c r="W186" t="s">
        <v>23</v>
      </c>
      <c r="X186">
        <v>41961.16</v>
      </c>
      <c r="Y186">
        <v>975</v>
      </c>
      <c r="Z186">
        <v>350</v>
      </c>
      <c r="AA186">
        <v>7500</v>
      </c>
      <c r="AB186" s="1">
        <v>5.5948213333333303</v>
      </c>
      <c r="AC186" t="s">
        <v>47</v>
      </c>
    </row>
    <row r="187" spans="1:29">
      <c r="A187">
        <v>428</v>
      </c>
      <c r="B187" t="s">
        <v>16</v>
      </c>
      <c r="C187" t="s">
        <v>15</v>
      </c>
      <c r="D187" t="s">
        <v>11</v>
      </c>
      <c r="E187">
        <v>195</v>
      </c>
      <c r="F187">
        <v>2022</v>
      </c>
      <c r="G187" t="s">
        <v>18</v>
      </c>
      <c r="H187">
        <v>41653.949999999997</v>
      </c>
      <c r="I187">
        <v>0</v>
      </c>
      <c r="J187">
        <v>416</v>
      </c>
      <c r="K187">
        <v>443</v>
      </c>
      <c r="L187" t="s">
        <v>41</v>
      </c>
      <c r="M187">
        <v>54</v>
      </c>
      <c r="N187" t="s">
        <v>16</v>
      </c>
      <c r="O187" t="s">
        <v>17</v>
      </c>
      <c r="P187" t="s">
        <v>13</v>
      </c>
      <c r="Q187">
        <v>95</v>
      </c>
      <c r="R187">
        <v>2022</v>
      </c>
      <c r="S187" t="s">
        <v>22</v>
      </c>
      <c r="T187">
        <v>32262.9</v>
      </c>
      <c r="U187">
        <v>416</v>
      </c>
      <c r="V187" t="s">
        <v>16</v>
      </c>
      <c r="W187" t="s">
        <v>10</v>
      </c>
      <c r="X187">
        <v>42002.04</v>
      </c>
      <c r="Y187">
        <v>875</v>
      </c>
      <c r="Z187">
        <v>150</v>
      </c>
      <c r="AA187">
        <v>8700</v>
      </c>
      <c r="AB187" s="1">
        <v>4.8278206896551703</v>
      </c>
      <c r="AC187" t="s">
        <v>49</v>
      </c>
    </row>
    <row r="188" spans="1:29">
      <c r="A188">
        <v>363</v>
      </c>
      <c r="B188" t="s">
        <v>16</v>
      </c>
      <c r="C188" t="s">
        <v>19</v>
      </c>
      <c r="D188" t="s">
        <v>13</v>
      </c>
      <c r="E188">
        <v>185</v>
      </c>
      <c r="F188">
        <v>2021</v>
      </c>
      <c r="G188" t="s">
        <v>22</v>
      </c>
      <c r="H188">
        <v>44119.199999999997</v>
      </c>
      <c r="I188">
        <v>0</v>
      </c>
      <c r="J188">
        <v>156</v>
      </c>
      <c r="K188">
        <v>26</v>
      </c>
      <c r="L188" t="s">
        <v>40</v>
      </c>
      <c r="M188">
        <v>76</v>
      </c>
      <c r="N188" t="s">
        <v>9</v>
      </c>
      <c r="O188" t="s">
        <v>17</v>
      </c>
      <c r="P188" t="s">
        <v>11</v>
      </c>
      <c r="Q188">
        <v>190</v>
      </c>
      <c r="R188">
        <v>2017</v>
      </c>
      <c r="S188" t="s">
        <v>12</v>
      </c>
      <c r="T188">
        <v>105910</v>
      </c>
      <c r="U188">
        <v>156</v>
      </c>
      <c r="V188" t="s">
        <v>16</v>
      </c>
      <c r="W188" t="s">
        <v>23</v>
      </c>
      <c r="X188">
        <v>42020</v>
      </c>
      <c r="Y188">
        <v>825</v>
      </c>
      <c r="Z188">
        <v>350</v>
      </c>
      <c r="AA188">
        <v>5700</v>
      </c>
      <c r="AB188" s="1">
        <v>7.3719298245614002</v>
      </c>
      <c r="AC188" t="s">
        <v>47</v>
      </c>
    </row>
    <row r="189" spans="1:29">
      <c r="A189">
        <v>177</v>
      </c>
      <c r="B189" t="s">
        <v>16</v>
      </c>
      <c r="C189" t="s">
        <v>19</v>
      </c>
      <c r="D189" t="s">
        <v>11</v>
      </c>
      <c r="E189">
        <v>150</v>
      </c>
      <c r="F189">
        <v>2019</v>
      </c>
      <c r="G189" t="s">
        <v>18</v>
      </c>
      <c r="H189" s="1" t="s">
        <v>31</v>
      </c>
      <c r="I189">
        <v>0</v>
      </c>
      <c r="J189">
        <v>186</v>
      </c>
      <c r="K189">
        <v>340</v>
      </c>
      <c r="L189" t="s">
        <v>40</v>
      </c>
      <c r="M189">
        <v>73</v>
      </c>
      <c r="N189" t="s">
        <v>9</v>
      </c>
      <c r="O189" t="s">
        <v>19</v>
      </c>
      <c r="P189" t="s">
        <v>13</v>
      </c>
      <c r="Q189">
        <v>150</v>
      </c>
      <c r="R189">
        <v>2021</v>
      </c>
      <c r="S189" t="s">
        <v>14</v>
      </c>
      <c r="T189">
        <v>118746</v>
      </c>
      <c r="U189">
        <v>186</v>
      </c>
      <c r="V189" t="s">
        <v>16</v>
      </c>
      <c r="W189" t="s">
        <v>17</v>
      </c>
      <c r="X189">
        <v>42161.04</v>
      </c>
      <c r="Y189">
        <v>975</v>
      </c>
      <c r="Z189">
        <v>300</v>
      </c>
      <c r="AA189">
        <v>8100</v>
      </c>
      <c r="AB189" s="1">
        <v>5.2050666666666601</v>
      </c>
      <c r="AC189" t="s">
        <v>47</v>
      </c>
    </row>
    <row r="190" spans="1:29">
      <c r="A190">
        <v>395</v>
      </c>
      <c r="B190" t="s">
        <v>16</v>
      </c>
      <c r="C190" t="s">
        <v>19</v>
      </c>
      <c r="D190" t="s">
        <v>13</v>
      </c>
      <c r="E190">
        <v>235</v>
      </c>
      <c r="F190">
        <v>2021</v>
      </c>
      <c r="G190" t="s">
        <v>22</v>
      </c>
      <c r="H190">
        <v>45291.6</v>
      </c>
      <c r="I190">
        <v>0</v>
      </c>
      <c r="J190">
        <v>360</v>
      </c>
      <c r="K190">
        <v>108</v>
      </c>
      <c r="L190" t="s">
        <v>41</v>
      </c>
      <c r="M190">
        <v>61</v>
      </c>
      <c r="N190" t="s">
        <v>16</v>
      </c>
      <c r="O190" t="s">
        <v>15</v>
      </c>
      <c r="P190" t="s">
        <v>11</v>
      </c>
      <c r="Q190">
        <v>185</v>
      </c>
      <c r="R190">
        <v>2018</v>
      </c>
      <c r="S190" t="s">
        <v>12</v>
      </c>
      <c r="T190">
        <v>37694.910000000003</v>
      </c>
      <c r="U190">
        <v>360</v>
      </c>
      <c r="V190" t="s">
        <v>16</v>
      </c>
      <c r="W190" t="s">
        <v>17</v>
      </c>
      <c r="X190">
        <v>42669.599999999999</v>
      </c>
      <c r="Y190">
        <v>875</v>
      </c>
      <c r="Z190">
        <v>175</v>
      </c>
      <c r="AA190">
        <v>8400</v>
      </c>
      <c r="AB190" s="1">
        <v>5.0797142857142799</v>
      </c>
      <c r="AC190" t="s">
        <v>47</v>
      </c>
    </row>
    <row r="191" spans="1:29">
      <c r="B191" t="s">
        <v>108</v>
      </c>
      <c r="C191" t="s">
        <v>108</v>
      </c>
      <c r="L191" t="s">
        <v>107</v>
      </c>
      <c r="U191">
        <v>499</v>
      </c>
      <c r="V191" t="s">
        <v>16</v>
      </c>
      <c r="W191" t="s">
        <v>23</v>
      </c>
      <c r="X191">
        <v>42772.5</v>
      </c>
      <c r="Y191">
        <v>825</v>
      </c>
      <c r="Z191">
        <v>325</v>
      </c>
      <c r="AA191">
        <v>6000</v>
      </c>
      <c r="AB191">
        <v>7.1287500000000001</v>
      </c>
      <c r="AC191" t="s">
        <v>47</v>
      </c>
    </row>
    <row r="192" spans="1:29">
      <c r="A192">
        <v>83</v>
      </c>
      <c r="B192" t="s">
        <v>16</v>
      </c>
      <c r="C192" t="s">
        <v>23</v>
      </c>
      <c r="D192" t="s">
        <v>11</v>
      </c>
      <c r="E192">
        <v>120</v>
      </c>
      <c r="F192">
        <v>2018</v>
      </c>
      <c r="G192" t="s">
        <v>18</v>
      </c>
      <c r="H192">
        <v>24696.31</v>
      </c>
      <c r="I192">
        <v>0</v>
      </c>
      <c r="J192">
        <v>378</v>
      </c>
      <c r="K192">
        <v>211</v>
      </c>
      <c r="L192" t="s">
        <v>41</v>
      </c>
      <c r="M192">
        <v>59</v>
      </c>
      <c r="N192" t="s">
        <v>9</v>
      </c>
      <c r="O192" t="s">
        <v>19</v>
      </c>
      <c r="P192" t="s">
        <v>21</v>
      </c>
      <c r="Q192">
        <v>170</v>
      </c>
      <c r="R192">
        <v>2019</v>
      </c>
      <c r="S192" t="s">
        <v>18</v>
      </c>
      <c r="T192">
        <v>100977.72</v>
      </c>
      <c r="U192">
        <v>378</v>
      </c>
      <c r="V192" t="s">
        <v>16</v>
      </c>
      <c r="W192" t="s">
        <v>15</v>
      </c>
      <c r="X192">
        <v>42788.4</v>
      </c>
      <c r="Y192">
        <v>825</v>
      </c>
      <c r="Z192">
        <v>350</v>
      </c>
      <c r="AA192">
        <v>5700</v>
      </c>
      <c r="AB192" s="1">
        <v>7.5067368421052603</v>
      </c>
      <c r="AC192" t="s">
        <v>47</v>
      </c>
    </row>
    <row r="193" spans="1:29">
      <c r="A193">
        <v>170</v>
      </c>
      <c r="B193" t="s">
        <v>16</v>
      </c>
      <c r="C193" t="s">
        <v>15</v>
      </c>
      <c r="D193" t="s">
        <v>11</v>
      </c>
      <c r="E193">
        <v>195</v>
      </c>
      <c r="F193">
        <v>2019</v>
      </c>
      <c r="G193" t="s">
        <v>18</v>
      </c>
      <c r="H193" s="1" t="s">
        <v>28</v>
      </c>
      <c r="I193">
        <v>0</v>
      </c>
      <c r="J193">
        <v>135</v>
      </c>
      <c r="K193">
        <v>477</v>
      </c>
      <c r="L193" t="s">
        <v>40</v>
      </c>
      <c r="M193">
        <v>78</v>
      </c>
      <c r="N193" t="s">
        <v>9</v>
      </c>
      <c r="O193" t="s">
        <v>19</v>
      </c>
      <c r="P193" t="s">
        <v>11</v>
      </c>
      <c r="Q193">
        <v>155</v>
      </c>
      <c r="R193">
        <v>2022</v>
      </c>
      <c r="S193" t="s">
        <v>12</v>
      </c>
      <c r="T193">
        <v>113855</v>
      </c>
      <c r="U193">
        <v>135</v>
      </c>
      <c r="V193" t="s">
        <v>16</v>
      </c>
      <c r="W193" t="s">
        <v>23</v>
      </c>
      <c r="X193">
        <v>42961.32</v>
      </c>
      <c r="Y193">
        <v>825</v>
      </c>
      <c r="Z193">
        <v>275</v>
      </c>
      <c r="AA193">
        <v>6600</v>
      </c>
      <c r="AB193" s="1">
        <v>6.5092909090909004</v>
      </c>
      <c r="AC193" t="s">
        <v>47</v>
      </c>
    </row>
    <row r="194" spans="1:29">
      <c r="B194" t="s">
        <v>108</v>
      </c>
      <c r="C194" t="s">
        <v>108</v>
      </c>
      <c r="L194" t="s">
        <v>107</v>
      </c>
      <c r="U194">
        <v>481</v>
      </c>
      <c r="V194" t="s">
        <v>16</v>
      </c>
      <c r="W194" t="s">
        <v>23</v>
      </c>
      <c r="X194">
        <v>43270</v>
      </c>
      <c r="Y194">
        <v>950</v>
      </c>
      <c r="Z194">
        <v>275</v>
      </c>
      <c r="AA194">
        <v>8100</v>
      </c>
      <c r="AB194" s="1">
        <v>5.3419753086419703</v>
      </c>
      <c r="AC194" t="s">
        <v>47</v>
      </c>
    </row>
    <row r="195" spans="1:29">
      <c r="B195" t="s">
        <v>108</v>
      </c>
      <c r="C195" t="s">
        <v>108</v>
      </c>
      <c r="L195" t="s">
        <v>107</v>
      </c>
      <c r="U195">
        <v>430</v>
      </c>
      <c r="V195" t="s">
        <v>16</v>
      </c>
      <c r="W195" t="s">
        <v>23</v>
      </c>
      <c r="X195">
        <v>43512.480000000003</v>
      </c>
      <c r="Y195">
        <v>950</v>
      </c>
      <c r="Z195">
        <v>200</v>
      </c>
      <c r="AA195">
        <v>9000</v>
      </c>
      <c r="AB195">
        <v>4.8347199999999999</v>
      </c>
      <c r="AC195" t="s">
        <v>49</v>
      </c>
    </row>
    <row r="196" spans="1:29">
      <c r="A196">
        <v>84</v>
      </c>
      <c r="B196" t="s">
        <v>9</v>
      </c>
      <c r="C196" t="s">
        <v>15</v>
      </c>
      <c r="D196" t="s">
        <v>13</v>
      </c>
      <c r="E196">
        <v>170</v>
      </c>
      <c r="F196">
        <v>2018</v>
      </c>
      <c r="G196" t="s">
        <v>22</v>
      </c>
      <c r="H196">
        <v>88603.839999999997</v>
      </c>
      <c r="I196">
        <v>0</v>
      </c>
      <c r="J196">
        <v>273</v>
      </c>
      <c r="K196">
        <v>409</v>
      </c>
      <c r="L196" t="s">
        <v>40</v>
      </c>
      <c r="M196">
        <v>67</v>
      </c>
      <c r="N196" t="s">
        <v>16</v>
      </c>
      <c r="O196" t="s">
        <v>17</v>
      </c>
      <c r="P196" t="s">
        <v>11</v>
      </c>
      <c r="Q196">
        <v>185</v>
      </c>
      <c r="R196">
        <v>2022</v>
      </c>
      <c r="S196" t="s">
        <v>18</v>
      </c>
      <c r="T196">
        <v>37256.699999999997</v>
      </c>
      <c r="U196">
        <v>273</v>
      </c>
      <c r="V196" t="s">
        <v>16</v>
      </c>
      <c r="W196" t="s">
        <v>15</v>
      </c>
      <c r="X196">
        <v>43681.25</v>
      </c>
      <c r="Y196">
        <v>825</v>
      </c>
      <c r="Z196">
        <v>325</v>
      </c>
      <c r="AA196">
        <v>6000</v>
      </c>
      <c r="AB196" s="1">
        <v>7.2802083333333298</v>
      </c>
      <c r="AC196" t="s">
        <v>47</v>
      </c>
    </row>
    <row r="197" spans="1:29">
      <c r="A197">
        <v>199</v>
      </c>
      <c r="B197" t="s">
        <v>16</v>
      </c>
      <c r="C197" t="s">
        <v>17</v>
      </c>
      <c r="D197" t="s">
        <v>11</v>
      </c>
      <c r="E197">
        <v>120</v>
      </c>
      <c r="F197">
        <v>2019</v>
      </c>
      <c r="G197" t="s">
        <v>14</v>
      </c>
      <c r="H197">
        <v>35300.120000000003</v>
      </c>
      <c r="I197">
        <v>0</v>
      </c>
      <c r="J197">
        <v>338</v>
      </c>
      <c r="K197">
        <v>209</v>
      </c>
      <c r="L197" t="s">
        <v>41</v>
      </c>
      <c r="M197">
        <v>62</v>
      </c>
      <c r="N197" t="s">
        <v>16</v>
      </c>
      <c r="O197" t="s">
        <v>17</v>
      </c>
      <c r="P197" t="s">
        <v>13</v>
      </c>
      <c r="Q197">
        <v>240</v>
      </c>
      <c r="R197">
        <v>2019</v>
      </c>
      <c r="S197" t="s">
        <v>18</v>
      </c>
      <c r="T197" s="1">
        <v>30456.98</v>
      </c>
      <c r="U197">
        <v>338</v>
      </c>
      <c r="V197" t="s">
        <v>16</v>
      </c>
      <c r="W197" t="s">
        <v>17</v>
      </c>
      <c r="X197">
        <v>43828.800000000003</v>
      </c>
      <c r="Y197">
        <v>825</v>
      </c>
      <c r="Z197">
        <v>175</v>
      </c>
      <c r="AA197">
        <v>7800</v>
      </c>
      <c r="AB197" s="1">
        <v>5.6190769230769204</v>
      </c>
      <c r="AC197" t="s">
        <v>47</v>
      </c>
    </row>
    <row r="198" spans="1:29">
      <c r="A198">
        <v>404</v>
      </c>
      <c r="B198" t="s">
        <v>16</v>
      </c>
      <c r="C198" t="s">
        <v>19</v>
      </c>
      <c r="D198" t="s">
        <v>11</v>
      </c>
      <c r="E198">
        <v>210</v>
      </c>
      <c r="F198">
        <v>2021</v>
      </c>
      <c r="G198" t="s">
        <v>22</v>
      </c>
      <c r="H198">
        <v>24715.200000000001</v>
      </c>
      <c r="I198">
        <v>0</v>
      </c>
      <c r="J198">
        <v>363</v>
      </c>
      <c r="K198">
        <v>193</v>
      </c>
      <c r="L198" t="s">
        <v>41</v>
      </c>
      <c r="M198">
        <v>60</v>
      </c>
      <c r="N198" t="s">
        <v>16</v>
      </c>
      <c r="O198" t="s">
        <v>17</v>
      </c>
      <c r="P198" t="s">
        <v>11</v>
      </c>
      <c r="Q198">
        <v>155</v>
      </c>
      <c r="R198">
        <v>2019</v>
      </c>
      <c r="S198" t="s">
        <v>22</v>
      </c>
      <c r="T198">
        <v>29115.02</v>
      </c>
      <c r="U198">
        <v>363</v>
      </c>
      <c r="V198" t="s">
        <v>16</v>
      </c>
      <c r="W198" t="s">
        <v>19</v>
      </c>
      <c r="X198">
        <v>44119.199999999997</v>
      </c>
      <c r="Y198">
        <v>975</v>
      </c>
      <c r="Z198">
        <v>275</v>
      </c>
      <c r="AA198">
        <v>8400</v>
      </c>
      <c r="AB198" s="1">
        <v>5.2522857142857102</v>
      </c>
      <c r="AC198" t="s">
        <v>47</v>
      </c>
    </row>
    <row r="199" spans="1:29">
      <c r="B199" t="s">
        <v>108</v>
      </c>
      <c r="C199" t="s">
        <v>108</v>
      </c>
      <c r="L199" t="s">
        <v>107</v>
      </c>
      <c r="U199">
        <v>495</v>
      </c>
      <c r="V199" t="s">
        <v>16</v>
      </c>
      <c r="W199" t="s">
        <v>19</v>
      </c>
      <c r="X199">
        <v>44121.25</v>
      </c>
      <c r="Y199">
        <v>825</v>
      </c>
      <c r="Z199">
        <v>275</v>
      </c>
      <c r="AA199">
        <v>6600</v>
      </c>
      <c r="AB199" s="1">
        <v>6.6850378787878704</v>
      </c>
      <c r="AC199" t="s">
        <v>47</v>
      </c>
    </row>
    <row r="200" spans="1:29">
      <c r="A200">
        <v>95</v>
      </c>
      <c r="B200" t="s">
        <v>16</v>
      </c>
      <c r="C200" t="s">
        <v>17</v>
      </c>
      <c r="D200" t="s">
        <v>24</v>
      </c>
      <c r="E200">
        <v>175</v>
      </c>
      <c r="F200">
        <v>2018</v>
      </c>
      <c r="G200" t="s">
        <v>22</v>
      </c>
      <c r="H200" s="1">
        <v>31161.62</v>
      </c>
      <c r="I200">
        <v>0</v>
      </c>
      <c r="J200">
        <v>275</v>
      </c>
      <c r="K200">
        <v>270</v>
      </c>
      <c r="L200" t="s">
        <v>40</v>
      </c>
      <c r="M200">
        <v>67</v>
      </c>
      <c r="N200" t="s">
        <v>16</v>
      </c>
      <c r="O200" t="s">
        <v>17</v>
      </c>
      <c r="P200" t="s">
        <v>11</v>
      </c>
      <c r="Q200">
        <v>215</v>
      </c>
      <c r="R200">
        <v>2020</v>
      </c>
      <c r="S200" t="s">
        <v>14</v>
      </c>
      <c r="T200">
        <v>39086.25</v>
      </c>
      <c r="U200">
        <v>275</v>
      </c>
      <c r="V200" t="s">
        <v>16</v>
      </c>
      <c r="W200" t="s">
        <v>19</v>
      </c>
      <c r="X200">
        <v>44290</v>
      </c>
      <c r="Y200">
        <v>875</v>
      </c>
      <c r="Z200">
        <v>200</v>
      </c>
      <c r="AA200">
        <v>8100</v>
      </c>
      <c r="AB200" s="1">
        <v>5.4679012345678997</v>
      </c>
      <c r="AC200" t="s">
        <v>47</v>
      </c>
    </row>
    <row r="201" spans="1:29">
      <c r="B201" t="s">
        <v>108</v>
      </c>
      <c r="C201" t="s">
        <v>108</v>
      </c>
      <c r="L201" t="s">
        <v>107</v>
      </c>
      <c r="U201">
        <v>494</v>
      </c>
      <c r="V201" t="s">
        <v>16</v>
      </c>
      <c r="W201" t="s">
        <v>17</v>
      </c>
      <c r="X201">
        <v>44408.75</v>
      </c>
      <c r="Y201">
        <v>975</v>
      </c>
      <c r="AA201">
        <v>11700</v>
      </c>
      <c r="AB201" s="1">
        <v>3.7956196581196502</v>
      </c>
      <c r="AC201" t="s">
        <v>49</v>
      </c>
    </row>
    <row r="202" spans="1:29">
      <c r="A202">
        <v>150</v>
      </c>
      <c r="B202" t="s">
        <v>16</v>
      </c>
      <c r="C202" t="s">
        <v>17</v>
      </c>
      <c r="D202" t="s">
        <v>13</v>
      </c>
      <c r="E202">
        <v>205</v>
      </c>
      <c r="F202">
        <v>2019</v>
      </c>
      <c r="G202" t="s">
        <v>14</v>
      </c>
      <c r="H202">
        <v>26139.24</v>
      </c>
      <c r="I202">
        <v>0</v>
      </c>
      <c r="J202">
        <v>279</v>
      </c>
      <c r="K202">
        <v>346</v>
      </c>
      <c r="L202" t="s">
        <v>40</v>
      </c>
      <c r="M202">
        <v>67</v>
      </c>
      <c r="N202" t="s">
        <v>16</v>
      </c>
      <c r="O202" t="s">
        <v>23</v>
      </c>
      <c r="P202" t="s">
        <v>13</v>
      </c>
      <c r="Q202">
        <v>195</v>
      </c>
      <c r="R202">
        <v>2021</v>
      </c>
      <c r="S202" t="s">
        <v>12</v>
      </c>
      <c r="T202">
        <v>41354.400000000001</v>
      </c>
      <c r="U202">
        <v>279</v>
      </c>
      <c r="V202" t="s">
        <v>16</v>
      </c>
      <c r="W202" t="s">
        <v>23</v>
      </c>
      <c r="X202">
        <v>45005.2</v>
      </c>
      <c r="Y202">
        <v>950</v>
      </c>
      <c r="Z202">
        <v>150</v>
      </c>
      <c r="AA202">
        <v>9600</v>
      </c>
      <c r="AB202" s="1">
        <v>4.6880416666666598</v>
      </c>
      <c r="AC202" t="s">
        <v>49</v>
      </c>
    </row>
    <row r="203" spans="1:29">
      <c r="A203">
        <v>193</v>
      </c>
      <c r="B203" t="s">
        <v>16</v>
      </c>
      <c r="C203" t="s">
        <v>17</v>
      </c>
      <c r="D203" t="s">
        <v>11</v>
      </c>
      <c r="E203">
        <v>155</v>
      </c>
      <c r="F203">
        <v>2019</v>
      </c>
      <c r="G203" t="s">
        <v>22</v>
      </c>
      <c r="H203">
        <v>29115.02</v>
      </c>
      <c r="I203">
        <v>0</v>
      </c>
      <c r="J203">
        <v>395</v>
      </c>
      <c r="K203">
        <v>256</v>
      </c>
      <c r="L203" t="s">
        <v>41</v>
      </c>
      <c r="M203">
        <v>56</v>
      </c>
      <c r="N203" t="s">
        <v>16</v>
      </c>
      <c r="O203" t="s">
        <v>17</v>
      </c>
      <c r="P203" t="s">
        <v>11</v>
      </c>
      <c r="Q203">
        <v>115</v>
      </c>
      <c r="R203">
        <v>2020</v>
      </c>
      <c r="S203" t="s">
        <v>12</v>
      </c>
      <c r="T203">
        <v>30325</v>
      </c>
      <c r="U203">
        <v>395</v>
      </c>
      <c r="V203" t="s">
        <v>16</v>
      </c>
      <c r="W203" t="s">
        <v>19</v>
      </c>
      <c r="X203">
        <v>45291.6</v>
      </c>
      <c r="Y203">
        <v>975</v>
      </c>
      <c r="Z203">
        <v>350</v>
      </c>
      <c r="AA203">
        <v>7500</v>
      </c>
      <c r="AB203">
        <v>6.0388799999999998</v>
      </c>
      <c r="AC203" t="s">
        <v>47</v>
      </c>
    </row>
    <row r="204" spans="1:29">
      <c r="A204">
        <v>7</v>
      </c>
      <c r="B204" t="s">
        <v>9</v>
      </c>
      <c r="C204" t="s">
        <v>10</v>
      </c>
      <c r="D204" t="s">
        <v>11</v>
      </c>
      <c r="E204">
        <v>185</v>
      </c>
      <c r="F204">
        <v>2017</v>
      </c>
      <c r="G204" t="s">
        <v>12</v>
      </c>
      <c r="H204">
        <v>82296</v>
      </c>
      <c r="I204">
        <v>0</v>
      </c>
      <c r="J204">
        <v>1</v>
      </c>
      <c r="K204">
        <v>405</v>
      </c>
      <c r="L204" t="s">
        <v>40</v>
      </c>
      <c r="M204">
        <v>100</v>
      </c>
      <c r="N204" t="s">
        <v>20</v>
      </c>
      <c r="O204" t="s">
        <v>23</v>
      </c>
      <c r="P204" t="s">
        <v>11</v>
      </c>
      <c r="Q204">
        <v>225</v>
      </c>
      <c r="R204">
        <v>2022</v>
      </c>
      <c r="S204" t="s">
        <v>12</v>
      </c>
      <c r="T204">
        <v>129996.24</v>
      </c>
      <c r="U204">
        <v>1</v>
      </c>
      <c r="V204" t="s">
        <v>9</v>
      </c>
      <c r="W204" t="s">
        <v>15</v>
      </c>
      <c r="X204">
        <v>45713</v>
      </c>
      <c r="Y204">
        <v>950</v>
      </c>
      <c r="Z204">
        <v>325</v>
      </c>
      <c r="AA204">
        <v>7500</v>
      </c>
      <c r="AB204" s="1">
        <v>6.0950666666666597</v>
      </c>
      <c r="AC204" t="s">
        <v>47</v>
      </c>
    </row>
    <row r="205" spans="1:29">
      <c r="A205">
        <v>434</v>
      </c>
      <c r="B205" t="s">
        <v>9</v>
      </c>
      <c r="C205" t="s">
        <v>15</v>
      </c>
      <c r="D205" t="s">
        <v>13</v>
      </c>
      <c r="E205">
        <v>120</v>
      </c>
      <c r="F205">
        <v>2022</v>
      </c>
      <c r="G205" t="s">
        <v>14</v>
      </c>
      <c r="H205">
        <v>104253.57</v>
      </c>
      <c r="I205">
        <v>0</v>
      </c>
      <c r="J205">
        <v>366</v>
      </c>
      <c r="K205">
        <v>253</v>
      </c>
      <c r="L205" t="s">
        <v>41</v>
      </c>
      <c r="M205">
        <v>60</v>
      </c>
      <c r="N205" t="s">
        <v>16</v>
      </c>
      <c r="O205" t="s">
        <v>17</v>
      </c>
      <c r="P205" t="s">
        <v>11</v>
      </c>
      <c r="Q205">
        <v>155</v>
      </c>
      <c r="R205">
        <v>2019</v>
      </c>
      <c r="S205" t="s">
        <v>18</v>
      </c>
      <c r="T205">
        <v>32231.42</v>
      </c>
      <c r="U205">
        <v>366</v>
      </c>
      <c r="V205" t="s">
        <v>16</v>
      </c>
      <c r="W205" t="s">
        <v>19</v>
      </c>
      <c r="X205">
        <v>46180.800000000003</v>
      </c>
      <c r="Y205">
        <v>875</v>
      </c>
      <c r="Z205">
        <v>350</v>
      </c>
      <c r="AA205">
        <v>6300</v>
      </c>
      <c r="AB205" s="1">
        <v>7.3302857142857096</v>
      </c>
      <c r="AC205" t="s">
        <v>47</v>
      </c>
    </row>
    <row r="206" spans="1:29">
      <c r="A206">
        <v>44</v>
      </c>
      <c r="B206" t="s">
        <v>9</v>
      </c>
      <c r="C206" t="s">
        <v>17</v>
      </c>
      <c r="D206" t="s">
        <v>13</v>
      </c>
      <c r="E206">
        <v>185</v>
      </c>
      <c r="F206">
        <v>2018</v>
      </c>
      <c r="G206" t="s">
        <v>14</v>
      </c>
      <c r="H206">
        <v>110680.5</v>
      </c>
      <c r="I206">
        <v>0</v>
      </c>
      <c r="J206">
        <v>329</v>
      </c>
      <c r="K206">
        <v>495</v>
      </c>
      <c r="L206" t="s">
        <v>41</v>
      </c>
      <c r="M206">
        <v>63</v>
      </c>
      <c r="N206" t="s">
        <v>16</v>
      </c>
      <c r="O206" t="s">
        <v>19</v>
      </c>
      <c r="P206" t="s">
        <v>11</v>
      </c>
      <c r="Q206">
        <v>125</v>
      </c>
      <c r="R206">
        <v>2022</v>
      </c>
      <c r="S206" t="s">
        <v>18</v>
      </c>
      <c r="T206">
        <v>44121.25</v>
      </c>
      <c r="U206">
        <v>329</v>
      </c>
      <c r="V206" t="s">
        <v>16</v>
      </c>
      <c r="W206" t="s">
        <v>10</v>
      </c>
      <c r="X206">
        <v>46294.8</v>
      </c>
      <c r="Y206">
        <v>950</v>
      </c>
      <c r="Z206">
        <v>350</v>
      </c>
      <c r="AA206">
        <v>7200</v>
      </c>
      <c r="AB206" s="1">
        <v>6.4298333333333302</v>
      </c>
      <c r="AC206" t="s">
        <v>47</v>
      </c>
    </row>
    <row r="207" spans="1:29">
      <c r="B207" t="s">
        <v>108</v>
      </c>
      <c r="C207" t="s">
        <v>108</v>
      </c>
      <c r="L207" t="s">
        <v>107</v>
      </c>
      <c r="U207">
        <v>447</v>
      </c>
      <c r="V207" t="s">
        <v>16</v>
      </c>
      <c r="W207" t="s">
        <v>23</v>
      </c>
      <c r="X207">
        <v>46390.68</v>
      </c>
      <c r="Y207">
        <v>950</v>
      </c>
      <c r="Z207">
        <v>250</v>
      </c>
      <c r="AA207">
        <v>8400</v>
      </c>
      <c r="AB207">
        <v>5.5227000000000004</v>
      </c>
      <c r="AC207" t="s">
        <v>47</v>
      </c>
    </row>
    <row r="208" spans="1:29">
      <c r="A208">
        <v>306</v>
      </c>
      <c r="B208" t="s">
        <v>16</v>
      </c>
      <c r="C208" t="s">
        <v>15</v>
      </c>
      <c r="D208" t="s">
        <v>11</v>
      </c>
      <c r="E208">
        <v>175</v>
      </c>
      <c r="F208">
        <v>2021</v>
      </c>
      <c r="G208" t="s">
        <v>18</v>
      </c>
      <c r="H208">
        <v>40851.599999999999</v>
      </c>
      <c r="I208">
        <v>0</v>
      </c>
      <c r="J208">
        <v>294</v>
      </c>
      <c r="K208">
        <v>343</v>
      </c>
      <c r="L208" t="s">
        <v>40</v>
      </c>
      <c r="M208">
        <v>65</v>
      </c>
      <c r="N208" t="s">
        <v>16</v>
      </c>
      <c r="O208" t="s">
        <v>15</v>
      </c>
      <c r="P208" t="s">
        <v>13</v>
      </c>
      <c r="Q208">
        <v>205</v>
      </c>
      <c r="R208">
        <v>2021</v>
      </c>
      <c r="S208" t="s">
        <v>12</v>
      </c>
      <c r="T208">
        <v>33500.400000000001</v>
      </c>
      <c r="U208">
        <v>294</v>
      </c>
      <c r="V208" t="s">
        <v>16</v>
      </c>
      <c r="W208" t="s">
        <v>23</v>
      </c>
      <c r="X208">
        <v>46504.800000000003</v>
      </c>
      <c r="Y208">
        <v>825</v>
      </c>
      <c r="Z208">
        <v>175</v>
      </c>
      <c r="AA208">
        <v>7800</v>
      </c>
      <c r="AB208" s="1">
        <v>5.9621538461538401</v>
      </c>
      <c r="AC208" t="s">
        <v>47</v>
      </c>
    </row>
    <row r="209" spans="1:29">
      <c r="A209">
        <v>119</v>
      </c>
      <c r="B209" t="s">
        <v>16</v>
      </c>
      <c r="C209" t="s">
        <v>10</v>
      </c>
      <c r="D209" t="s">
        <v>11</v>
      </c>
      <c r="E209">
        <v>155</v>
      </c>
      <c r="F209">
        <v>2018</v>
      </c>
      <c r="G209" t="s">
        <v>12</v>
      </c>
      <c r="H209">
        <v>37741.599999999999</v>
      </c>
      <c r="I209">
        <v>0</v>
      </c>
      <c r="J209">
        <v>381</v>
      </c>
      <c r="K209">
        <v>333</v>
      </c>
      <c r="L209" t="s">
        <v>41</v>
      </c>
      <c r="M209">
        <v>58</v>
      </c>
      <c r="N209" t="s">
        <v>16</v>
      </c>
      <c r="O209" t="s">
        <v>15</v>
      </c>
      <c r="P209" t="s">
        <v>13</v>
      </c>
      <c r="Q209">
        <v>145</v>
      </c>
      <c r="R209">
        <v>2021</v>
      </c>
      <c r="S209" t="s">
        <v>22</v>
      </c>
      <c r="T209">
        <v>30398.400000000001</v>
      </c>
      <c r="U209">
        <v>381</v>
      </c>
      <c r="V209" t="s">
        <v>16</v>
      </c>
      <c r="W209" t="s">
        <v>19</v>
      </c>
      <c r="X209">
        <v>46520.4</v>
      </c>
      <c r="Y209">
        <v>875</v>
      </c>
      <c r="Z209">
        <v>350</v>
      </c>
      <c r="AA209">
        <v>6300</v>
      </c>
      <c r="AB209" s="1">
        <v>7.3841904761904704</v>
      </c>
      <c r="AC209" t="s">
        <v>47</v>
      </c>
    </row>
    <row r="210" spans="1:29">
      <c r="B210" t="s">
        <v>108</v>
      </c>
      <c r="C210" t="s">
        <v>108</v>
      </c>
      <c r="L210" t="s">
        <v>107</v>
      </c>
      <c r="U210">
        <v>441</v>
      </c>
      <c r="V210" t="s">
        <v>16</v>
      </c>
      <c r="W210" t="s">
        <v>17</v>
      </c>
      <c r="X210">
        <v>46593.63</v>
      </c>
      <c r="Y210">
        <v>825</v>
      </c>
      <c r="Z210">
        <v>175</v>
      </c>
      <c r="AA210">
        <v>7800</v>
      </c>
      <c r="AB210" s="1">
        <v>5.9735423076923002</v>
      </c>
      <c r="AC210" t="s">
        <v>47</v>
      </c>
    </row>
    <row r="211" spans="1:29">
      <c r="B211" t="s">
        <v>108</v>
      </c>
      <c r="C211" t="s">
        <v>108</v>
      </c>
      <c r="L211" t="s">
        <v>107</v>
      </c>
      <c r="U211">
        <v>493</v>
      </c>
      <c r="V211" t="s">
        <v>16</v>
      </c>
      <c r="W211" t="s">
        <v>23</v>
      </c>
      <c r="X211">
        <v>46676.25</v>
      </c>
      <c r="Y211">
        <v>950</v>
      </c>
      <c r="Z211">
        <v>250</v>
      </c>
      <c r="AA211">
        <v>8400</v>
      </c>
      <c r="AB211" s="1">
        <v>5.5566964285714198</v>
      </c>
      <c r="AC211" t="s">
        <v>47</v>
      </c>
    </row>
    <row r="212" spans="1:29">
      <c r="A212">
        <v>304</v>
      </c>
      <c r="B212" t="s">
        <v>9</v>
      </c>
      <c r="C212" t="s">
        <v>19</v>
      </c>
      <c r="D212" t="s">
        <v>13</v>
      </c>
      <c r="E212">
        <v>220</v>
      </c>
      <c r="F212">
        <v>2021</v>
      </c>
      <c r="G212" t="s">
        <v>12</v>
      </c>
      <c r="H212">
        <v>107226</v>
      </c>
      <c r="I212">
        <v>0</v>
      </c>
      <c r="J212">
        <v>293</v>
      </c>
      <c r="K212">
        <v>473</v>
      </c>
      <c r="L212" t="s">
        <v>40</v>
      </c>
      <c r="M212">
        <v>65</v>
      </c>
      <c r="N212" t="s">
        <v>16</v>
      </c>
      <c r="O212" t="s">
        <v>17</v>
      </c>
      <c r="P212" t="s">
        <v>13</v>
      </c>
      <c r="Q212">
        <v>230</v>
      </c>
      <c r="R212">
        <v>2022</v>
      </c>
      <c r="S212" t="s">
        <v>18</v>
      </c>
      <c r="T212">
        <v>32447.5</v>
      </c>
      <c r="U212">
        <v>293</v>
      </c>
      <c r="V212" t="s">
        <v>16</v>
      </c>
      <c r="W212" t="s">
        <v>23</v>
      </c>
      <c r="X212">
        <v>46802.400000000001</v>
      </c>
      <c r="Y212">
        <v>825</v>
      </c>
      <c r="Z212">
        <v>325</v>
      </c>
      <c r="AA212">
        <v>6000</v>
      </c>
      <c r="AB212" s="1">
        <v>7.8003999999999998</v>
      </c>
      <c r="AC212" t="s">
        <v>47</v>
      </c>
    </row>
    <row r="213" spans="1:29">
      <c r="B213" t="s">
        <v>108</v>
      </c>
      <c r="C213" t="s">
        <v>108</v>
      </c>
      <c r="L213" t="s">
        <v>107</v>
      </c>
      <c r="U213">
        <v>467</v>
      </c>
      <c r="V213" t="s">
        <v>16</v>
      </c>
      <c r="W213" t="s">
        <v>23</v>
      </c>
      <c r="X213">
        <v>47280</v>
      </c>
      <c r="Y213">
        <v>875</v>
      </c>
      <c r="Z213">
        <v>200</v>
      </c>
      <c r="AA213">
        <v>8100</v>
      </c>
      <c r="AB213" s="1">
        <v>5.8370370370370299</v>
      </c>
      <c r="AC213" t="s">
        <v>47</v>
      </c>
    </row>
    <row r="214" spans="1:29">
      <c r="B214" t="s">
        <v>108</v>
      </c>
      <c r="C214" t="s">
        <v>108</v>
      </c>
      <c r="L214" t="s">
        <v>107</v>
      </c>
      <c r="U214">
        <v>429</v>
      </c>
      <c r="V214" t="s">
        <v>16</v>
      </c>
      <c r="W214" t="s">
        <v>23</v>
      </c>
      <c r="X214">
        <v>47533.35</v>
      </c>
      <c r="Y214">
        <v>875</v>
      </c>
      <c r="Z214">
        <v>325</v>
      </c>
      <c r="AA214">
        <v>6600</v>
      </c>
      <c r="AB214" s="1">
        <v>7.2020227272727197</v>
      </c>
      <c r="AC214" t="s">
        <v>47</v>
      </c>
    </row>
    <row r="215" spans="1:29">
      <c r="B215" t="s">
        <v>108</v>
      </c>
      <c r="C215" t="s">
        <v>108</v>
      </c>
      <c r="L215" t="s">
        <v>107</v>
      </c>
      <c r="U215">
        <v>444</v>
      </c>
      <c r="V215" t="s">
        <v>16</v>
      </c>
      <c r="W215" t="s">
        <v>10</v>
      </c>
      <c r="X215">
        <v>47862.99</v>
      </c>
      <c r="Y215">
        <v>950</v>
      </c>
      <c r="Z215">
        <v>375</v>
      </c>
      <c r="AA215">
        <v>6900</v>
      </c>
      <c r="AB215" s="1">
        <v>6.9366652173913002</v>
      </c>
      <c r="AC215" t="s">
        <v>47</v>
      </c>
    </row>
    <row r="216" spans="1:29">
      <c r="B216" t="s">
        <v>108</v>
      </c>
      <c r="C216" t="s">
        <v>108</v>
      </c>
      <c r="L216" t="s">
        <v>107</v>
      </c>
      <c r="U216">
        <v>448</v>
      </c>
      <c r="V216" t="s">
        <v>16</v>
      </c>
      <c r="W216" t="s">
        <v>23</v>
      </c>
      <c r="X216">
        <v>48842.07</v>
      </c>
      <c r="Y216">
        <v>975</v>
      </c>
      <c r="Z216">
        <v>350</v>
      </c>
      <c r="AA216">
        <v>7500</v>
      </c>
      <c r="AB216">
        <v>6.512276</v>
      </c>
      <c r="AC216" t="s">
        <v>47</v>
      </c>
    </row>
    <row r="217" spans="1:29">
      <c r="B217" t="s">
        <v>108</v>
      </c>
      <c r="C217" t="s">
        <v>108</v>
      </c>
      <c r="L217" t="s">
        <v>107</v>
      </c>
      <c r="U217">
        <v>461</v>
      </c>
      <c r="V217" t="s">
        <v>16</v>
      </c>
      <c r="W217" t="s">
        <v>23</v>
      </c>
      <c r="X217">
        <v>48907.26</v>
      </c>
      <c r="Y217">
        <v>975</v>
      </c>
      <c r="Z217">
        <v>200</v>
      </c>
      <c r="AA217">
        <v>9300</v>
      </c>
      <c r="AB217" s="1">
        <v>5.2588451612903198</v>
      </c>
      <c r="AC217" t="s">
        <v>47</v>
      </c>
    </row>
    <row r="218" spans="1:29">
      <c r="B218" t="s">
        <v>108</v>
      </c>
      <c r="C218" t="s">
        <v>108</v>
      </c>
      <c r="L218" t="s">
        <v>107</v>
      </c>
      <c r="U218">
        <v>470</v>
      </c>
      <c r="V218" t="s">
        <v>16</v>
      </c>
      <c r="W218" t="s">
        <v>15</v>
      </c>
      <c r="X218">
        <v>49023.75</v>
      </c>
      <c r="Y218">
        <v>875</v>
      </c>
      <c r="Z218">
        <v>200</v>
      </c>
      <c r="AA218">
        <v>8100</v>
      </c>
      <c r="AB218" s="1">
        <v>6.0523148148148103</v>
      </c>
      <c r="AC218" t="s">
        <v>47</v>
      </c>
    </row>
    <row r="219" spans="1:29">
      <c r="B219" t="s">
        <v>108</v>
      </c>
      <c r="C219" t="s">
        <v>108</v>
      </c>
      <c r="L219" t="s">
        <v>107</v>
      </c>
      <c r="U219">
        <v>455</v>
      </c>
      <c r="V219" t="s">
        <v>16</v>
      </c>
      <c r="W219" t="s">
        <v>17</v>
      </c>
      <c r="X219">
        <v>49142.19</v>
      </c>
      <c r="Y219">
        <v>875</v>
      </c>
      <c r="AA219">
        <v>10500</v>
      </c>
      <c r="AB219" s="1">
        <v>4.6802085714285697</v>
      </c>
      <c r="AC219" t="s">
        <v>49</v>
      </c>
    </row>
    <row r="220" spans="1:29">
      <c r="A220">
        <v>311</v>
      </c>
      <c r="B220" t="s">
        <v>16</v>
      </c>
      <c r="C220" t="s">
        <v>23</v>
      </c>
      <c r="D220" t="s">
        <v>11</v>
      </c>
      <c r="E220">
        <v>100</v>
      </c>
      <c r="F220">
        <v>2021</v>
      </c>
      <c r="G220" t="s">
        <v>12</v>
      </c>
      <c r="H220">
        <v>26619.599999999999</v>
      </c>
      <c r="I220">
        <v>0</v>
      </c>
      <c r="J220">
        <v>37</v>
      </c>
      <c r="K220">
        <v>393</v>
      </c>
      <c r="L220" t="s">
        <v>40</v>
      </c>
      <c r="M220">
        <v>87</v>
      </c>
      <c r="N220" t="s">
        <v>20</v>
      </c>
      <c r="O220" t="s">
        <v>19</v>
      </c>
      <c r="P220" t="s">
        <v>13</v>
      </c>
      <c r="Q220">
        <v>195</v>
      </c>
      <c r="R220">
        <v>2021</v>
      </c>
      <c r="S220" t="s">
        <v>18</v>
      </c>
      <c r="T220">
        <v>108532.8</v>
      </c>
      <c r="U220">
        <v>37</v>
      </c>
      <c r="V220" t="s">
        <v>9</v>
      </c>
      <c r="W220" t="s">
        <v>17</v>
      </c>
      <c r="X220">
        <v>82096</v>
      </c>
      <c r="Y220">
        <v>975</v>
      </c>
      <c r="Z220">
        <v>250</v>
      </c>
      <c r="AA220">
        <v>8700</v>
      </c>
      <c r="AB220">
        <v>9.4363218390804597</v>
      </c>
      <c r="AC220" t="s">
        <v>47</v>
      </c>
    </row>
    <row r="221" spans="1:29">
      <c r="A221">
        <v>76</v>
      </c>
      <c r="B221" t="s">
        <v>9</v>
      </c>
      <c r="C221" t="s">
        <v>19</v>
      </c>
      <c r="D221" t="s">
        <v>11</v>
      </c>
      <c r="E221">
        <v>215</v>
      </c>
      <c r="F221">
        <v>2018</v>
      </c>
      <c r="G221" t="s">
        <v>14</v>
      </c>
      <c r="H221">
        <v>96011.45</v>
      </c>
      <c r="I221">
        <v>0</v>
      </c>
      <c r="J221">
        <v>7</v>
      </c>
      <c r="K221">
        <v>359</v>
      </c>
      <c r="L221" t="s">
        <v>40</v>
      </c>
      <c r="M221">
        <v>92</v>
      </c>
      <c r="N221" t="s">
        <v>20</v>
      </c>
      <c r="O221" t="s">
        <v>17</v>
      </c>
      <c r="P221" t="s">
        <v>11</v>
      </c>
      <c r="Q221">
        <v>165</v>
      </c>
      <c r="R221">
        <v>2021</v>
      </c>
      <c r="S221" t="s">
        <v>18</v>
      </c>
      <c r="T221">
        <v>104685.6</v>
      </c>
      <c r="U221">
        <v>7</v>
      </c>
      <c r="V221" t="s">
        <v>9</v>
      </c>
      <c r="W221" t="s">
        <v>10</v>
      </c>
      <c r="X221">
        <v>82296</v>
      </c>
      <c r="Y221">
        <v>875</v>
      </c>
      <c r="Z221">
        <v>250</v>
      </c>
      <c r="AA221">
        <v>7500</v>
      </c>
      <c r="AB221">
        <v>10.972799999999999</v>
      </c>
      <c r="AC221" t="s">
        <v>48</v>
      </c>
    </row>
    <row r="222" spans="1:29">
      <c r="A222">
        <v>412</v>
      </c>
      <c r="B222" t="s">
        <v>16</v>
      </c>
      <c r="C222" t="s">
        <v>23</v>
      </c>
      <c r="D222" t="s">
        <v>11</v>
      </c>
      <c r="E222">
        <v>230</v>
      </c>
      <c r="F222">
        <v>2022</v>
      </c>
      <c r="G222" t="s">
        <v>12</v>
      </c>
      <c r="H222">
        <v>37924.589999999997</v>
      </c>
      <c r="I222">
        <v>0</v>
      </c>
      <c r="J222">
        <v>109</v>
      </c>
      <c r="K222">
        <v>137</v>
      </c>
      <c r="L222" t="s">
        <v>40</v>
      </c>
      <c r="M222">
        <v>79</v>
      </c>
      <c r="N222" t="s">
        <v>9</v>
      </c>
      <c r="O222" t="s">
        <v>19</v>
      </c>
      <c r="P222" t="s">
        <v>11</v>
      </c>
      <c r="Q222">
        <v>170</v>
      </c>
      <c r="R222">
        <v>2019</v>
      </c>
      <c r="S222" t="s">
        <v>12</v>
      </c>
      <c r="T222">
        <v>91494.36</v>
      </c>
      <c r="U222">
        <v>109</v>
      </c>
      <c r="V222" t="s">
        <v>20</v>
      </c>
      <c r="W222" t="s">
        <v>15</v>
      </c>
      <c r="X222">
        <v>82589.52</v>
      </c>
      <c r="Y222">
        <v>875</v>
      </c>
      <c r="Z222">
        <v>400</v>
      </c>
      <c r="AA222">
        <v>5700</v>
      </c>
      <c r="AB222" s="1">
        <v>14.4893894736842</v>
      </c>
      <c r="AC222" t="s">
        <v>48</v>
      </c>
    </row>
    <row r="223" spans="1:29">
      <c r="A223">
        <v>425</v>
      </c>
      <c r="B223" t="s">
        <v>20</v>
      </c>
      <c r="C223" t="s">
        <v>15</v>
      </c>
      <c r="D223" t="s">
        <v>13</v>
      </c>
      <c r="E223">
        <v>200</v>
      </c>
      <c r="F223">
        <v>2022</v>
      </c>
      <c r="G223" t="s">
        <v>14</v>
      </c>
      <c r="H223">
        <v>123644.52</v>
      </c>
      <c r="I223">
        <v>0</v>
      </c>
      <c r="J223">
        <v>110</v>
      </c>
      <c r="K223">
        <v>125</v>
      </c>
      <c r="L223" t="s">
        <v>40</v>
      </c>
      <c r="M223">
        <v>79</v>
      </c>
      <c r="N223" t="s">
        <v>9</v>
      </c>
      <c r="O223" t="s">
        <v>15</v>
      </c>
      <c r="P223" t="s">
        <v>11</v>
      </c>
      <c r="Q223">
        <v>165</v>
      </c>
      <c r="R223">
        <v>2019</v>
      </c>
      <c r="S223" t="s">
        <v>12</v>
      </c>
      <c r="T223">
        <v>91581.88</v>
      </c>
      <c r="U223">
        <v>110</v>
      </c>
      <c r="V223" t="s">
        <v>9</v>
      </c>
      <c r="W223" t="s">
        <v>23</v>
      </c>
      <c r="X223">
        <v>83491.8</v>
      </c>
      <c r="Y223">
        <v>950</v>
      </c>
      <c r="Z223">
        <v>400</v>
      </c>
      <c r="AA223">
        <v>6600</v>
      </c>
      <c r="AB223" s="1">
        <v>12.6502727272727</v>
      </c>
      <c r="AC223" t="s">
        <v>48</v>
      </c>
    </row>
    <row r="224" spans="1:29">
      <c r="A224">
        <v>62</v>
      </c>
      <c r="B224" t="s">
        <v>9</v>
      </c>
      <c r="C224" t="s">
        <v>17</v>
      </c>
      <c r="D224" t="s">
        <v>13</v>
      </c>
      <c r="E224">
        <v>180</v>
      </c>
      <c r="F224">
        <v>2018</v>
      </c>
      <c r="G224" t="s">
        <v>22</v>
      </c>
      <c r="H224" s="1" t="s">
        <v>25</v>
      </c>
      <c r="I224">
        <v>0</v>
      </c>
      <c r="J224">
        <v>73</v>
      </c>
      <c r="K224">
        <v>408</v>
      </c>
      <c r="L224" t="s">
        <v>40</v>
      </c>
      <c r="M224">
        <v>82</v>
      </c>
      <c r="N224" t="s">
        <v>9</v>
      </c>
      <c r="O224" t="s">
        <v>15</v>
      </c>
      <c r="P224" t="s">
        <v>11</v>
      </c>
      <c r="Q224">
        <v>190</v>
      </c>
      <c r="R224">
        <v>2022</v>
      </c>
      <c r="S224" t="s">
        <v>18</v>
      </c>
      <c r="T224">
        <v>101814.48</v>
      </c>
      <c r="U224">
        <v>73</v>
      </c>
      <c r="V224" t="s">
        <v>9</v>
      </c>
      <c r="W224" t="s">
        <v>15</v>
      </c>
      <c r="X224">
        <v>84035.7</v>
      </c>
      <c r="Y224">
        <v>950</v>
      </c>
      <c r="Z224">
        <v>375</v>
      </c>
      <c r="AA224">
        <v>6900</v>
      </c>
      <c r="AB224" s="1">
        <v>12.179086956521701</v>
      </c>
      <c r="AC224" t="s">
        <v>48</v>
      </c>
    </row>
    <row r="225" spans="1:29">
      <c r="A225">
        <v>332</v>
      </c>
      <c r="B225" t="s">
        <v>9</v>
      </c>
      <c r="C225" t="s">
        <v>15</v>
      </c>
      <c r="D225" t="s">
        <v>11</v>
      </c>
      <c r="E225">
        <v>115</v>
      </c>
      <c r="F225">
        <v>2021</v>
      </c>
      <c r="G225" t="s">
        <v>14</v>
      </c>
      <c r="H225">
        <v>97030.8</v>
      </c>
      <c r="I225">
        <v>0</v>
      </c>
      <c r="J225">
        <v>40</v>
      </c>
      <c r="K225">
        <v>316</v>
      </c>
      <c r="L225" t="s">
        <v>40</v>
      </c>
      <c r="M225">
        <v>87</v>
      </c>
      <c r="N225" t="s">
        <v>9</v>
      </c>
      <c r="O225" t="s">
        <v>10</v>
      </c>
      <c r="P225" t="s">
        <v>11</v>
      </c>
      <c r="Q225">
        <v>195</v>
      </c>
      <c r="R225">
        <v>2021</v>
      </c>
      <c r="S225" t="s">
        <v>22</v>
      </c>
      <c r="T225">
        <v>121504.8</v>
      </c>
      <c r="U225">
        <v>40</v>
      </c>
      <c r="V225" t="s">
        <v>9</v>
      </c>
      <c r="W225" t="s">
        <v>15</v>
      </c>
      <c r="X225">
        <v>85397.52</v>
      </c>
      <c r="Y225">
        <v>875</v>
      </c>
      <c r="Z225">
        <v>175</v>
      </c>
      <c r="AA225">
        <v>8400</v>
      </c>
      <c r="AB225" s="1">
        <v>10.1663714285714</v>
      </c>
      <c r="AC225" t="s">
        <v>48</v>
      </c>
    </row>
    <row r="226" spans="1:29">
      <c r="A226">
        <v>493</v>
      </c>
      <c r="B226" t="s">
        <v>16</v>
      </c>
      <c r="C226" t="s">
        <v>23</v>
      </c>
      <c r="D226" t="s">
        <v>11</v>
      </c>
      <c r="E226">
        <v>145</v>
      </c>
      <c r="F226">
        <v>2022</v>
      </c>
      <c r="G226" t="s">
        <v>14</v>
      </c>
      <c r="H226">
        <v>46676.25</v>
      </c>
      <c r="I226">
        <v>0</v>
      </c>
      <c r="J226">
        <v>64</v>
      </c>
      <c r="K226">
        <v>452</v>
      </c>
      <c r="L226" t="s">
        <v>40</v>
      </c>
      <c r="M226">
        <v>84</v>
      </c>
      <c r="N226" t="s">
        <v>20</v>
      </c>
      <c r="O226" t="s">
        <v>15</v>
      </c>
      <c r="P226" t="s">
        <v>11</v>
      </c>
      <c r="Q226">
        <v>105</v>
      </c>
      <c r="R226">
        <v>2022</v>
      </c>
      <c r="S226" t="s">
        <v>14</v>
      </c>
      <c r="T226">
        <v>110757.81</v>
      </c>
      <c r="U226">
        <v>64</v>
      </c>
      <c r="V226" t="s">
        <v>9</v>
      </c>
      <c r="W226" t="s">
        <v>10</v>
      </c>
      <c r="X226">
        <v>85485.92</v>
      </c>
      <c r="Y226">
        <v>975</v>
      </c>
      <c r="Z226">
        <v>225</v>
      </c>
      <c r="AA226">
        <v>9000</v>
      </c>
      <c r="AB226" s="1">
        <v>9.4984355555555506</v>
      </c>
      <c r="AC226" t="s">
        <v>47</v>
      </c>
    </row>
    <row r="227" spans="1:29">
      <c r="A227">
        <v>205</v>
      </c>
      <c r="B227" t="s">
        <v>9</v>
      </c>
      <c r="C227" t="s">
        <v>10</v>
      </c>
      <c r="D227" t="s">
        <v>13</v>
      </c>
      <c r="E227">
        <v>190</v>
      </c>
      <c r="F227">
        <v>2019</v>
      </c>
      <c r="G227" t="s">
        <v>22</v>
      </c>
      <c r="H227">
        <v>108537.64</v>
      </c>
      <c r="I227">
        <v>0</v>
      </c>
      <c r="J227">
        <v>139</v>
      </c>
      <c r="K227">
        <v>110</v>
      </c>
      <c r="L227" t="s">
        <v>40</v>
      </c>
      <c r="M227">
        <v>77</v>
      </c>
      <c r="N227" t="s">
        <v>9</v>
      </c>
      <c r="O227" t="s">
        <v>23</v>
      </c>
      <c r="P227" t="s">
        <v>11</v>
      </c>
      <c r="Q227">
        <v>135</v>
      </c>
      <c r="R227">
        <v>2018</v>
      </c>
      <c r="S227" t="s">
        <v>14</v>
      </c>
      <c r="T227">
        <v>83491.8</v>
      </c>
      <c r="U227">
        <v>139</v>
      </c>
      <c r="V227" t="s">
        <v>20</v>
      </c>
      <c r="W227" t="s">
        <v>23</v>
      </c>
      <c r="X227">
        <v>85658.6</v>
      </c>
      <c r="Y227">
        <v>975</v>
      </c>
      <c r="Z227">
        <v>425</v>
      </c>
      <c r="AA227">
        <v>6600</v>
      </c>
      <c r="AB227" s="1">
        <v>12.978575757575699</v>
      </c>
      <c r="AC227" t="s">
        <v>48</v>
      </c>
    </row>
    <row r="228" spans="1:29">
      <c r="A228">
        <v>56</v>
      </c>
      <c r="B228" t="s">
        <v>16</v>
      </c>
      <c r="C228" t="s">
        <v>23</v>
      </c>
      <c r="D228" t="s">
        <v>11</v>
      </c>
      <c r="E228">
        <v>220</v>
      </c>
      <c r="F228">
        <v>2018</v>
      </c>
      <c r="G228" t="s">
        <v>18</v>
      </c>
      <c r="H228">
        <v>26795.599999999999</v>
      </c>
      <c r="I228">
        <v>0</v>
      </c>
      <c r="J228">
        <v>71</v>
      </c>
      <c r="K228">
        <v>384</v>
      </c>
      <c r="L228" t="s">
        <v>40</v>
      </c>
      <c r="M228">
        <v>82</v>
      </c>
      <c r="N228" t="s">
        <v>9</v>
      </c>
      <c r="O228" t="s">
        <v>10</v>
      </c>
      <c r="P228" t="s">
        <v>13</v>
      </c>
      <c r="Q228">
        <v>160</v>
      </c>
      <c r="R228">
        <v>2021</v>
      </c>
      <c r="S228" t="s">
        <v>12</v>
      </c>
      <c r="T228">
        <v>98467.199999999997</v>
      </c>
      <c r="U228">
        <v>71</v>
      </c>
      <c r="V228" t="s">
        <v>9</v>
      </c>
      <c r="W228" t="s">
        <v>23</v>
      </c>
      <c r="X228">
        <v>85768.1</v>
      </c>
      <c r="Y228">
        <v>950</v>
      </c>
      <c r="Z228">
        <v>200</v>
      </c>
      <c r="AA228">
        <v>9000</v>
      </c>
      <c r="AB228">
        <v>9.5297888888888895</v>
      </c>
      <c r="AC228" t="s">
        <v>47</v>
      </c>
    </row>
    <row r="229" spans="1:29">
      <c r="A229">
        <v>109</v>
      </c>
      <c r="B229" t="s">
        <v>20</v>
      </c>
      <c r="C229" t="s">
        <v>15</v>
      </c>
      <c r="D229" t="s">
        <v>11</v>
      </c>
      <c r="E229">
        <v>205</v>
      </c>
      <c r="F229">
        <v>2018</v>
      </c>
      <c r="G229" t="s">
        <v>12</v>
      </c>
      <c r="H229">
        <v>82589.52</v>
      </c>
      <c r="I229">
        <v>0</v>
      </c>
      <c r="J229">
        <v>129</v>
      </c>
      <c r="K229">
        <v>260</v>
      </c>
      <c r="L229" t="s">
        <v>40</v>
      </c>
      <c r="M229">
        <v>79</v>
      </c>
      <c r="N229" t="s">
        <v>9</v>
      </c>
      <c r="O229" t="s">
        <v>15</v>
      </c>
      <c r="P229" t="s">
        <v>11</v>
      </c>
      <c r="Q229">
        <v>160</v>
      </c>
      <c r="R229">
        <v>2020</v>
      </c>
      <c r="S229" t="s">
        <v>14</v>
      </c>
      <c r="T229">
        <v>134225</v>
      </c>
      <c r="U229">
        <v>129</v>
      </c>
      <c r="V229" t="s">
        <v>9</v>
      </c>
      <c r="W229" t="s">
        <v>23</v>
      </c>
      <c r="X229">
        <v>85940.56</v>
      </c>
      <c r="Y229">
        <v>875</v>
      </c>
      <c r="Z229">
        <v>400</v>
      </c>
      <c r="AA229">
        <v>5700</v>
      </c>
      <c r="AB229" s="1">
        <v>15.0772912280701</v>
      </c>
      <c r="AC229" t="s">
        <v>48</v>
      </c>
    </row>
    <row r="230" spans="1:29">
      <c r="A230">
        <v>335</v>
      </c>
      <c r="B230" t="s">
        <v>9</v>
      </c>
      <c r="C230" t="s">
        <v>23</v>
      </c>
      <c r="D230" t="s">
        <v>11</v>
      </c>
      <c r="E230">
        <v>190</v>
      </c>
      <c r="F230">
        <v>2021</v>
      </c>
      <c r="G230" t="s">
        <v>18</v>
      </c>
      <c r="H230">
        <v>128043.6</v>
      </c>
      <c r="I230">
        <v>0</v>
      </c>
      <c r="J230">
        <v>154</v>
      </c>
      <c r="K230">
        <v>274</v>
      </c>
      <c r="L230" t="s">
        <v>40</v>
      </c>
      <c r="M230">
        <v>76</v>
      </c>
      <c r="N230" t="s">
        <v>9</v>
      </c>
      <c r="O230" t="s">
        <v>10</v>
      </c>
      <c r="P230" t="s">
        <v>11</v>
      </c>
      <c r="Q230">
        <v>105</v>
      </c>
      <c r="R230">
        <v>2020</v>
      </c>
      <c r="S230" t="s">
        <v>22</v>
      </c>
      <c r="T230">
        <v>104562.5</v>
      </c>
      <c r="U230">
        <v>154</v>
      </c>
      <c r="V230" t="s">
        <v>20</v>
      </c>
      <c r="W230" t="s">
        <v>23</v>
      </c>
      <c r="X230">
        <v>86344.42</v>
      </c>
      <c r="Y230">
        <v>1050</v>
      </c>
      <c r="Z230">
        <v>300</v>
      </c>
      <c r="AA230">
        <v>9000</v>
      </c>
      <c r="AB230" s="1">
        <v>9.59382444444444</v>
      </c>
      <c r="AC230" t="s">
        <v>47</v>
      </c>
    </row>
    <row r="231" spans="1:29">
      <c r="A231">
        <v>376</v>
      </c>
      <c r="B231" t="s">
        <v>16</v>
      </c>
      <c r="C231" t="s">
        <v>19</v>
      </c>
      <c r="D231" t="s">
        <v>13</v>
      </c>
      <c r="E231">
        <v>200</v>
      </c>
      <c r="F231">
        <v>2021</v>
      </c>
      <c r="G231" t="s">
        <v>14</v>
      </c>
      <c r="H231">
        <v>35329.199999999997</v>
      </c>
      <c r="I231">
        <v>0</v>
      </c>
      <c r="J231">
        <v>104</v>
      </c>
      <c r="K231">
        <v>457</v>
      </c>
      <c r="L231" t="s">
        <v>40</v>
      </c>
      <c r="M231">
        <v>80</v>
      </c>
      <c r="N231" t="s">
        <v>9</v>
      </c>
      <c r="O231" t="s">
        <v>19</v>
      </c>
      <c r="P231" t="s">
        <v>13</v>
      </c>
      <c r="Q231">
        <v>210</v>
      </c>
      <c r="R231">
        <v>2022</v>
      </c>
      <c r="S231" t="s">
        <v>12</v>
      </c>
      <c r="T231">
        <v>131089.71</v>
      </c>
      <c r="U231">
        <v>104</v>
      </c>
      <c r="V231" t="s">
        <v>9</v>
      </c>
      <c r="W231" t="s">
        <v>10</v>
      </c>
      <c r="X231">
        <v>86905.52</v>
      </c>
      <c r="Y231">
        <v>875</v>
      </c>
      <c r="Z231">
        <v>250</v>
      </c>
      <c r="AA231">
        <v>7500</v>
      </c>
      <c r="AB231" s="1">
        <v>11.5874026666666</v>
      </c>
      <c r="AC231" t="s">
        <v>48</v>
      </c>
    </row>
    <row r="232" spans="1:29">
      <c r="A232">
        <v>207</v>
      </c>
      <c r="B232" t="s">
        <v>9</v>
      </c>
      <c r="C232" t="s">
        <v>17</v>
      </c>
      <c r="D232" t="s">
        <v>11</v>
      </c>
      <c r="E232">
        <v>180</v>
      </c>
      <c r="F232">
        <v>2019</v>
      </c>
      <c r="G232" t="s">
        <v>18</v>
      </c>
      <c r="H232">
        <v>115989.5</v>
      </c>
      <c r="I232">
        <v>0</v>
      </c>
      <c r="J232">
        <v>190</v>
      </c>
      <c r="K232">
        <v>247</v>
      </c>
      <c r="L232" t="s">
        <v>40</v>
      </c>
      <c r="M232">
        <v>72</v>
      </c>
      <c r="N232" t="s">
        <v>16</v>
      </c>
      <c r="O232" t="s">
        <v>23</v>
      </c>
      <c r="P232" t="s">
        <v>11</v>
      </c>
      <c r="Q232">
        <v>200</v>
      </c>
      <c r="R232">
        <v>2019</v>
      </c>
      <c r="S232" t="s">
        <v>18</v>
      </c>
      <c r="T232">
        <v>30556.44</v>
      </c>
      <c r="U232">
        <v>190</v>
      </c>
      <c r="V232" t="s">
        <v>20</v>
      </c>
      <c r="W232" t="s">
        <v>23</v>
      </c>
      <c r="X232">
        <v>87276.160000000003</v>
      </c>
      <c r="Y232">
        <v>950</v>
      </c>
      <c r="Z232">
        <v>300</v>
      </c>
      <c r="AA232">
        <v>7800</v>
      </c>
      <c r="AB232" s="1">
        <v>11.189251282051201</v>
      </c>
      <c r="AC232" t="s">
        <v>48</v>
      </c>
    </row>
    <row r="233" spans="1:29">
      <c r="A233">
        <v>81</v>
      </c>
      <c r="B233" t="s">
        <v>16</v>
      </c>
      <c r="C233" t="s">
        <v>17</v>
      </c>
      <c r="D233" t="s">
        <v>11</v>
      </c>
      <c r="E233">
        <v>180</v>
      </c>
      <c r="F233">
        <v>2018</v>
      </c>
      <c r="G233" t="s">
        <v>14</v>
      </c>
      <c r="H233">
        <v>22632.19</v>
      </c>
      <c r="I233">
        <v>0</v>
      </c>
      <c r="J233">
        <v>8</v>
      </c>
      <c r="K233">
        <v>236</v>
      </c>
      <c r="L233" t="s">
        <v>40</v>
      </c>
      <c r="M233">
        <v>92</v>
      </c>
      <c r="N233" t="s">
        <v>20</v>
      </c>
      <c r="O233" t="s">
        <v>19</v>
      </c>
      <c r="P233" t="s">
        <v>11</v>
      </c>
      <c r="Q233">
        <v>220</v>
      </c>
      <c r="R233">
        <v>2019</v>
      </c>
      <c r="S233" t="s">
        <v>14</v>
      </c>
      <c r="T233">
        <v>107577.8</v>
      </c>
      <c r="U233">
        <v>8</v>
      </c>
      <c r="V233" t="s">
        <v>9</v>
      </c>
      <c r="W233" t="s">
        <v>10</v>
      </c>
      <c r="X233">
        <v>87868</v>
      </c>
      <c r="Y233">
        <v>975</v>
      </c>
      <c r="Z233">
        <v>375</v>
      </c>
      <c r="AA233">
        <v>7200</v>
      </c>
      <c r="AB233" s="1">
        <v>12.2038888888888</v>
      </c>
      <c r="AC233" t="s">
        <v>48</v>
      </c>
    </row>
    <row r="234" spans="1:29">
      <c r="A234">
        <v>20</v>
      </c>
      <c r="B234" t="s">
        <v>9</v>
      </c>
      <c r="C234" t="s">
        <v>10</v>
      </c>
      <c r="D234" t="s">
        <v>13</v>
      </c>
      <c r="E234">
        <v>120</v>
      </c>
      <c r="F234">
        <v>2017</v>
      </c>
      <c r="G234" t="s">
        <v>14</v>
      </c>
      <c r="H234">
        <v>99848</v>
      </c>
      <c r="I234">
        <v>0</v>
      </c>
      <c r="J234">
        <v>2</v>
      </c>
      <c r="K234">
        <v>233</v>
      </c>
      <c r="L234" t="s">
        <v>40</v>
      </c>
      <c r="M234">
        <v>97</v>
      </c>
      <c r="N234" t="s">
        <v>20</v>
      </c>
      <c r="O234" t="s">
        <v>23</v>
      </c>
      <c r="P234" t="s">
        <v>11</v>
      </c>
      <c r="Q234">
        <v>210</v>
      </c>
      <c r="R234">
        <v>2019</v>
      </c>
      <c r="S234" t="s">
        <v>12</v>
      </c>
      <c r="T234">
        <v>101233.18</v>
      </c>
      <c r="U234">
        <v>2</v>
      </c>
      <c r="V234" t="s">
        <v>9</v>
      </c>
      <c r="W234" t="s">
        <v>10</v>
      </c>
      <c r="X234">
        <v>87959</v>
      </c>
      <c r="Y234">
        <v>875</v>
      </c>
      <c r="Z234">
        <v>300</v>
      </c>
      <c r="AA234">
        <v>6900</v>
      </c>
      <c r="AB234" s="1">
        <v>12.7476811594202</v>
      </c>
      <c r="AC234" t="s">
        <v>48</v>
      </c>
    </row>
    <row r="235" spans="1:29">
      <c r="A235">
        <v>166</v>
      </c>
      <c r="B235" t="s">
        <v>9</v>
      </c>
      <c r="C235" t="s">
        <v>19</v>
      </c>
      <c r="D235" t="s">
        <v>24</v>
      </c>
      <c r="E235">
        <v>95</v>
      </c>
      <c r="F235">
        <v>2019</v>
      </c>
      <c r="G235" t="s">
        <v>14</v>
      </c>
      <c r="H235">
        <v>101584.8</v>
      </c>
      <c r="I235">
        <v>0</v>
      </c>
      <c r="J235">
        <v>84</v>
      </c>
      <c r="K235">
        <v>210</v>
      </c>
      <c r="L235" t="s">
        <v>40</v>
      </c>
      <c r="M235">
        <v>82</v>
      </c>
      <c r="N235" t="s">
        <v>9</v>
      </c>
      <c r="O235" t="s">
        <v>23</v>
      </c>
      <c r="P235" t="s">
        <v>13</v>
      </c>
      <c r="Q235">
        <v>205</v>
      </c>
      <c r="R235">
        <v>2019</v>
      </c>
      <c r="S235" t="s">
        <v>18</v>
      </c>
      <c r="T235">
        <v>117630.7</v>
      </c>
      <c r="U235">
        <v>84</v>
      </c>
      <c r="V235" t="s">
        <v>9</v>
      </c>
      <c r="W235" t="s">
        <v>15</v>
      </c>
      <c r="X235">
        <v>88603.839999999997</v>
      </c>
      <c r="Y235">
        <v>975</v>
      </c>
      <c r="Z235">
        <v>325</v>
      </c>
      <c r="AA235">
        <v>7800</v>
      </c>
      <c r="AB235" s="1">
        <v>11.3594666666666</v>
      </c>
      <c r="AC235" t="s">
        <v>48</v>
      </c>
    </row>
    <row r="236" spans="1:29">
      <c r="A236">
        <v>494</v>
      </c>
      <c r="B236" t="s">
        <v>16</v>
      </c>
      <c r="C236" t="s">
        <v>17</v>
      </c>
      <c r="D236" t="s">
        <v>11</v>
      </c>
      <c r="E236">
        <v>235</v>
      </c>
      <c r="F236">
        <v>2022</v>
      </c>
      <c r="G236" t="s">
        <v>22</v>
      </c>
      <c r="H236">
        <v>44408.75</v>
      </c>
      <c r="I236">
        <v>0</v>
      </c>
      <c r="J236">
        <v>216</v>
      </c>
      <c r="K236">
        <v>197</v>
      </c>
      <c r="L236" t="s">
        <v>40</v>
      </c>
      <c r="M236">
        <v>71</v>
      </c>
      <c r="N236" t="s">
        <v>9</v>
      </c>
      <c r="O236" t="s">
        <v>15</v>
      </c>
      <c r="P236" t="s">
        <v>11</v>
      </c>
      <c r="Q236">
        <v>95</v>
      </c>
      <c r="R236">
        <v>2019</v>
      </c>
      <c r="S236" t="s">
        <v>12</v>
      </c>
      <c r="T236">
        <v>115262.28</v>
      </c>
      <c r="U236">
        <v>216</v>
      </c>
      <c r="V236" t="s">
        <v>9</v>
      </c>
      <c r="W236" t="s">
        <v>10</v>
      </c>
      <c r="X236">
        <v>88853.440000000002</v>
      </c>
      <c r="Y236">
        <v>950</v>
      </c>
      <c r="Z236">
        <v>400</v>
      </c>
      <c r="AA236">
        <v>6600</v>
      </c>
      <c r="AB236" s="1">
        <v>13.4626424242424</v>
      </c>
      <c r="AC236" t="s">
        <v>48</v>
      </c>
    </row>
    <row r="237" spans="1:29">
      <c r="A237">
        <v>273</v>
      </c>
      <c r="B237" t="s">
        <v>16</v>
      </c>
      <c r="C237" t="s">
        <v>15</v>
      </c>
      <c r="D237" t="s">
        <v>13</v>
      </c>
      <c r="E237">
        <v>140</v>
      </c>
      <c r="F237">
        <v>2020</v>
      </c>
      <c r="G237" t="s">
        <v>18</v>
      </c>
      <c r="H237">
        <v>43681.25</v>
      </c>
      <c r="I237">
        <v>0</v>
      </c>
      <c r="J237">
        <v>31</v>
      </c>
      <c r="K237">
        <v>212</v>
      </c>
      <c r="L237" t="s">
        <v>40</v>
      </c>
      <c r="M237">
        <v>87</v>
      </c>
      <c r="N237" t="s">
        <v>9</v>
      </c>
      <c r="O237" t="s">
        <v>23</v>
      </c>
      <c r="P237" t="s">
        <v>11</v>
      </c>
      <c r="Q237">
        <v>215</v>
      </c>
      <c r="R237">
        <v>2019</v>
      </c>
      <c r="S237" t="s">
        <v>12</v>
      </c>
      <c r="T237">
        <v>90944.7</v>
      </c>
      <c r="U237">
        <v>31</v>
      </c>
      <c r="V237" t="s">
        <v>9</v>
      </c>
      <c r="W237" t="s">
        <v>15</v>
      </c>
      <c r="X237">
        <v>88961</v>
      </c>
      <c r="Y237">
        <v>875</v>
      </c>
      <c r="Z237">
        <v>300</v>
      </c>
      <c r="AA237">
        <v>6900</v>
      </c>
      <c r="AB237" s="1">
        <v>12.892898550724601</v>
      </c>
      <c r="AC237" t="s">
        <v>48</v>
      </c>
    </row>
    <row r="238" spans="1:29">
      <c r="A238">
        <v>444</v>
      </c>
      <c r="B238" t="s">
        <v>16</v>
      </c>
      <c r="C238" t="s">
        <v>10</v>
      </c>
      <c r="D238" t="s">
        <v>11</v>
      </c>
      <c r="E238">
        <v>235</v>
      </c>
      <c r="F238">
        <v>2022</v>
      </c>
      <c r="G238" t="s">
        <v>14</v>
      </c>
      <c r="H238">
        <v>47862.99</v>
      </c>
      <c r="I238">
        <v>0</v>
      </c>
      <c r="J238">
        <v>116</v>
      </c>
      <c r="K238">
        <v>15</v>
      </c>
      <c r="L238" t="s">
        <v>40</v>
      </c>
      <c r="M238">
        <v>79</v>
      </c>
      <c r="N238" t="s">
        <v>9</v>
      </c>
      <c r="O238" t="s">
        <v>10</v>
      </c>
      <c r="P238" t="s">
        <v>13</v>
      </c>
      <c r="Q238">
        <v>240</v>
      </c>
      <c r="R238">
        <v>2017</v>
      </c>
      <c r="S238" t="s">
        <v>22</v>
      </c>
      <c r="T238">
        <v>102348</v>
      </c>
      <c r="U238">
        <v>116</v>
      </c>
      <c r="V238" t="s">
        <v>9</v>
      </c>
      <c r="W238" t="s">
        <v>15</v>
      </c>
      <c r="X238">
        <v>89028.160000000003</v>
      </c>
      <c r="Y238">
        <v>950</v>
      </c>
      <c r="Z238">
        <v>275</v>
      </c>
      <c r="AA238">
        <v>8100</v>
      </c>
      <c r="AB238" s="1">
        <v>10.991130864197499</v>
      </c>
      <c r="AC238" t="s">
        <v>48</v>
      </c>
    </row>
    <row r="239" spans="1:29">
      <c r="A239">
        <v>131</v>
      </c>
      <c r="B239" t="s">
        <v>9</v>
      </c>
      <c r="C239" t="s">
        <v>23</v>
      </c>
      <c r="D239" t="s">
        <v>13</v>
      </c>
      <c r="E239">
        <v>135</v>
      </c>
      <c r="F239">
        <v>2019</v>
      </c>
      <c r="G239" t="s">
        <v>18</v>
      </c>
      <c r="H239">
        <v>116247.96</v>
      </c>
      <c r="I239">
        <v>0</v>
      </c>
      <c r="J239">
        <v>229</v>
      </c>
      <c r="K239">
        <v>331</v>
      </c>
      <c r="L239" t="s">
        <v>40</v>
      </c>
      <c r="M239">
        <v>70</v>
      </c>
      <c r="N239" t="s">
        <v>16</v>
      </c>
      <c r="O239" t="s">
        <v>19</v>
      </c>
      <c r="P239" t="s">
        <v>11</v>
      </c>
      <c r="Q239">
        <v>205</v>
      </c>
      <c r="R239">
        <v>2021</v>
      </c>
      <c r="S239" t="s">
        <v>22</v>
      </c>
      <c r="T239">
        <v>39892.800000000003</v>
      </c>
      <c r="U239">
        <v>229</v>
      </c>
      <c r="V239" t="s">
        <v>9</v>
      </c>
      <c r="W239" t="s">
        <v>15</v>
      </c>
      <c r="X239">
        <v>89547.74</v>
      </c>
      <c r="Y239">
        <v>825</v>
      </c>
      <c r="Z239">
        <v>325</v>
      </c>
      <c r="AA239">
        <v>6000</v>
      </c>
      <c r="AB239" s="1">
        <v>14.924623333333299</v>
      </c>
      <c r="AC239" t="s">
        <v>48</v>
      </c>
    </row>
    <row r="240" spans="1:29">
      <c r="A240">
        <v>414</v>
      </c>
      <c r="B240" t="s">
        <v>16</v>
      </c>
      <c r="C240" t="s">
        <v>17</v>
      </c>
      <c r="D240" t="s">
        <v>24</v>
      </c>
      <c r="E240">
        <v>150</v>
      </c>
      <c r="F240">
        <v>2022</v>
      </c>
      <c r="G240" t="s">
        <v>14</v>
      </c>
      <c r="H240">
        <v>33428.94</v>
      </c>
      <c r="I240">
        <v>0</v>
      </c>
      <c r="J240">
        <v>51</v>
      </c>
      <c r="K240">
        <v>436</v>
      </c>
      <c r="L240" t="s">
        <v>40</v>
      </c>
      <c r="M240">
        <v>85</v>
      </c>
      <c r="N240" t="s">
        <v>9</v>
      </c>
      <c r="O240" t="s">
        <v>10</v>
      </c>
      <c r="P240" t="s">
        <v>13</v>
      </c>
      <c r="Q240">
        <v>240</v>
      </c>
      <c r="R240">
        <v>2022</v>
      </c>
      <c r="S240" t="s">
        <v>22</v>
      </c>
      <c r="T240">
        <v>116604</v>
      </c>
      <c r="U240">
        <v>51</v>
      </c>
      <c r="V240" t="s">
        <v>9</v>
      </c>
      <c r="W240" t="s">
        <v>19</v>
      </c>
      <c r="X240">
        <v>89722.5</v>
      </c>
      <c r="Y240">
        <v>975</v>
      </c>
      <c r="Z240">
        <v>400</v>
      </c>
      <c r="AA240">
        <v>6900</v>
      </c>
      <c r="AB240" s="1">
        <v>13.003260869565199</v>
      </c>
      <c r="AC240" t="s">
        <v>48</v>
      </c>
    </row>
    <row r="241" spans="1:29">
      <c r="A241">
        <v>310</v>
      </c>
      <c r="B241" t="s">
        <v>9</v>
      </c>
      <c r="C241" t="s">
        <v>23</v>
      </c>
      <c r="D241" t="s">
        <v>11</v>
      </c>
      <c r="E241">
        <v>200</v>
      </c>
      <c r="F241">
        <v>2021</v>
      </c>
      <c r="G241" t="s">
        <v>18</v>
      </c>
      <c r="H241">
        <v>108994.8</v>
      </c>
      <c r="I241">
        <v>0</v>
      </c>
      <c r="J241">
        <v>36</v>
      </c>
      <c r="K241">
        <v>235</v>
      </c>
      <c r="L241" t="s">
        <v>40</v>
      </c>
      <c r="M241">
        <v>87</v>
      </c>
      <c r="N241" t="s">
        <v>9</v>
      </c>
      <c r="O241" t="s">
        <v>23</v>
      </c>
      <c r="P241" t="s">
        <v>11</v>
      </c>
      <c r="Q241">
        <v>205</v>
      </c>
      <c r="R241">
        <v>2019</v>
      </c>
      <c r="S241" t="s">
        <v>12</v>
      </c>
      <c r="T241">
        <v>105589.78</v>
      </c>
      <c r="U241">
        <v>36</v>
      </c>
      <c r="V241" t="s">
        <v>9</v>
      </c>
      <c r="W241" t="s">
        <v>19</v>
      </c>
      <c r="X241">
        <v>90002</v>
      </c>
      <c r="Y241">
        <v>975</v>
      </c>
      <c r="Z241">
        <v>425</v>
      </c>
      <c r="AA241">
        <v>6600</v>
      </c>
      <c r="AB241" s="1">
        <v>13.636666666666599</v>
      </c>
      <c r="AC241" t="s">
        <v>48</v>
      </c>
    </row>
    <row r="242" spans="1:29">
      <c r="A242">
        <v>297</v>
      </c>
      <c r="B242" t="s">
        <v>9</v>
      </c>
      <c r="C242" t="s">
        <v>15</v>
      </c>
      <c r="D242" t="s">
        <v>11</v>
      </c>
      <c r="E242">
        <v>225</v>
      </c>
      <c r="F242">
        <v>2021</v>
      </c>
      <c r="G242" t="s">
        <v>14</v>
      </c>
      <c r="H242">
        <v>117471.6</v>
      </c>
      <c r="I242">
        <v>0</v>
      </c>
      <c r="J242">
        <v>201</v>
      </c>
      <c r="K242">
        <v>20</v>
      </c>
      <c r="L242" t="s">
        <v>40</v>
      </c>
      <c r="M242">
        <v>72</v>
      </c>
      <c r="N242" t="s">
        <v>9</v>
      </c>
      <c r="O242" t="s">
        <v>10</v>
      </c>
      <c r="P242" t="s">
        <v>13</v>
      </c>
      <c r="Q242">
        <v>120</v>
      </c>
      <c r="R242">
        <v>2017</v>
      </c>
      <c r="S242" t="s">
        <v>14</v>
      </c>
      <c r="T242">
        <v>99848</v>
      </c>
      <c r="U242">
        <v>201</v>
      </c>
      <c r="V242" t="s">
        <v>9</v>
      </c>
      <c r="W242" t="s">
        <v>23</v>
      </c>
      <c r="X242">
        <v>90472.06</v>
      </c>
      <c r="Y242">
        <v>825</v>
      </c>
      <c r="Z242">
        <v>200</v>
      </c>
      <c r="AA242">
        <v>7500</v>
      </c>
      <c r="AB242" s="1">
        <v>12.062941333333301</v>
      </c>
      <c r="AC242" t="s">
        <v>48</v>
      </c>
    </row>
    <row r="243" spans="1:29">
      <c r="A243">
        <v>184</v>
      </c>
      <c r="B243" t="s">
        <v>9</v>
      </c>
      <c r="C243" t="s">
        <v>10</v>
      </c>
      <c r="D243" t="s">
        <v>13</v>
      </c>
      <c r="E243">
        <v>215</v>
      </c>
      <c r="F243">
        <v>2019</v>
      </c>
      <c r="G243" t="s">
        <v>12</v>
      </c>
      <c r="H243">
        <v>99127.8</v>
      </c>
      <c r="I243">
        <v>0</v>
      </c>
      <c r="J243">
        <v>22</v>
      </c>
      <c r="K243">
        <v>262</v>
      </c>
      <c r="L243" t="s">
        <v>40</v>
      </c>
      <c r="M243">
        <v>90</v>
      </c>
      <c r="N243" t="s">
        <v>20</v>
      </c>
      <c r="O243" t="s">
        <v>23</v>
      </c>
      <c r="P243" t="s">
        <v>11</v>
      </c>
      <c r="Q243">
        <v>135</v>
      </c>
      <c r="R243">
        <v>2020</v>
      </c>
      <c r="S243" t="s">
        <v>12</v>
      </c>
      <c r="T243">
        <v>130727.5</v>
      </c>
      <c r="U243">
        <v>22</v>
      </c>
      <c r="V243" t="s">
        <v>9</v>
      </c>
      <c r="W243" t="s">
        <v>23</v>
      </c>
      <c r="X243">
        <v>90568</v>
      </c>
      <c r="Y243">
        <v>950</v>
      </c>
      <c r="Z243">
        <v>350</v>
      </c>
      <c r="AA243">
        <v>7200</v>
      </c>
      <c r="AB243" s="1">
        <v>12.5788888888888</v>
      </c>
      <c r="AC243" t="s">
        <v>48</v>
      </c>
    </row>
    <row r="244" spans="1:29">
      <c r="A244">
        <v>301</v>
      </c>
      <c r="B244" t="s">
        <v>9</v>
      </c>
      <c r="C244" t="s">
        <v>23</v>
      </c>
      <c r="D244" t="s">
        <v>11</v>
      </c>
      <c r="E244">
        <v>110</v>
      </c>
      <c r="F244">
        <v>2021</v>
      </c>
      <c r="G244" t="s">
        <v>18</v>
      </c>
      <c r="H244">
        <v>120549.6</v>
      </c>
      <c r="I244">
        <v>0</v>
      </c>
      <c r="J244">
        <v>35</v>
      </c>
      <c r="K244">
        <v>225</v>
      </c>
      <c r="L244" t="s">
        <v>40</v>
      </c>
      <c r="M244">
        <v>87</v>
      </c>
      <c r="N244" t="s">
        <v>20</v>
      </c>
      <c r="O244" t="s">
        <v>17</v>
      </c>
      <c r="P244" t="s">
        <v>13</v>
      </c>
      <c r="Q244">
        <v>220</v>
      </c>
      <c r="R244">
        <v>2019</v>
      </c>
      <c r="S244" t="s">
        <v>12</v>
      </c>
      <c r="T244">
        <v>105150.96</v>
      </c>
      <c r="U244">
        <v>35</v>
      </c>
      <c r="V244" t="s">
        <v>9</v>
      </c>
      <c r="W244" t="s">
        <v>23</v>
      </c>
      <c r="X244">
        <v>90675</v>
      </c>
      <c r="Y244">
        <v>975</v>
      </c>
      <c r="Z244">
        <v>375</v>
      </c>
      <c r="AA244">
        <v>7200</v>
      </c>
      <c r="AB244">
        <v>12.59375</v>
      </c>
      <c r="AC244" t="s">
        <v>48</v>
      </c>
    </row>
    <row r="245" spans="1:29">
      <c r="A245">
        <v>212</v>
      </c>
      <c r="B245" t="s">
        <v>9</v>
      </c>
      <c r="C245" t="s">
        <v>23</v>
      </c>
      <c r="D245" t="s">
        <v>11</v>
      </c>
      <c r="E245">
        <v>215</v>
      </c>
      <c r="F245">
        <v>2019</v>
      </c>
      <c r="G245" t="s">
        <v>12</v>
      </c>
      <c r="H245">
        <v>90944.7</v>
      </c>
      <c r="I245">
        <v>0</v>
      </c>
      <c r="J245">
        <v>239</v>
      </c>
      <c r="K245">
        <v>56</v>
      </c>
      <c r="L245" t="s">
        <v>40</v>
      </c>
      <c r="M245">
        <v>69</v>
      </c>
      <c r="N245" t="s">
        <v>16</v>
      </c>
      <c r="O245" t="s">
        <v>23</v>
      </c>
      <c r="P245" t="s">
        <v>11</v>
      </c>
      <c r="Q245">
        <v>220</v>
      </c>
      <c r="R245">
        <v>2018</v>
      </c>
      <c r="S245" t="s">
        <v>18</v>
      </c>
      <c r="T245">
        <v>26795.599999999999</v>
      </c>
      <c r="U245">
        <v>239</v>
      </c>
      <c r="V245" t="s">
        <v>20</v>
      </c>
      <c r="W245" t="s">
        <v>15</v>
      </c>
      <c r="X245">
        <v>90693</v>
      </c>
      <c r="Y245">
        <v>825</v>
      </c>
      <c r="Z245">
        <v>425</v>
      </c>
      <c r="AA245">
        <v>4800</v>
      </c>
      <c r="AB245">
        <v>18.894375</v>
      </c>
      <c r="AC245" t="s">
        <v>48</v>
      </c>
    </row>
    <row r="246" spans="1:29">
      <c r="A246">
        <v>55</v>
      </c>
      <c r="B246" t="s">
        <v>16</v>
      </c>
      <c r="C246" t="s">
        <v>23</v>
      </c>
      <c r="D246" t="s">
        <v>13</v>
      </c>
      <c r="E246">
        <v>230</v>
      </c>
      <c r="F246">
        <v>2018</v>
      </c>
      <c r="G246" t="s">
        <v>18</v>
      </c>
      <c r="H246">
        <v>28861.63</v>
      </c>
      <c r="I246">
        <v>0</v>
      </c>
      <c r="J246">
        <v>70</v>
      </c>
      <c r="K246">
        <v>325</v>
      </c>
      <c r="L246" t="s">
        <v>40</v>
      </c>
      <c r="M246">
        <v>82</v>
      </c>
      <c r="N246" t="s">
        <v>9</v>
      </c>
      <c r="O246" t="s">
        <v>19</v>
      </c>
      <c r="P246" t="s">
        <v>11</v>
      </c>
      <c r="Q246">
        <v>190</v>
      </c>
      <c r="R246">
        <v>2021</v>
      </c>
      <c r="S246" t="s">
        <v>22</v>
      </c>
      <c r="T246">
        <v>97430.399999999994</v>
      </c>
      <c r="U246">
        <v>70</v>
      </c>
      <c r="V246" t="s">
        <v>9</v>
      </c>
      <c r="W246" t="s">
        <v>19</v>
      </c>
      <c r="X246">
        <v>90702.83</v>
      </c>
      <c r="Y246">
        <v>825</v>
      </c>
      <c r="Z246">
        <v>400</v>
      </c>
      <c r="AA246">
        <v>5100</v>
      </c>
      <c r="AB246" s="1">
        <v>17.784868627450901</v>
      </c>
      <c r="AC246" t="s">
        <v>48</v>
      </c>
    </row>
    <row r="247" spans="1:29">
      <c r="A247">
        <v>103</v>
      </c>
      <c r="B247" t="s">
        <v>16</v>
      </c>
      <c r="C247" t="s">
        <v>19</v>
      </c>
      <c r="D247" t="s">
        <v>13</v>
      </c>
      <c r="E247">
        <v>95</v>
      </c>
      <c r="F247">
        <v>2018</v>
      </c>
      <c r="G247" t="s">
        <v>14</v>
      </c>
      <c r="H247">
        <v>27925.360000000001</v>
      </c>
      <c r="I247">
        <v>0</v>
      </c>
      <c r="J247">
        <v>77</v>
      </c>
      <c r="K247">
        <v>136</v>
      </c>
      <c r="L247" t="s">
        <v>40</v>
      </c>
      <c r="M247">
        <v>82</v>
      </c>
      <c r="N247" t="s">
        <v>9</v>
      </c>
      <c r="O247" t="s">
        <v>19</v>
      </c>
      <c r="P247" t="s">
        <v>11</v>
      </c>
      <c r="Q247">
        <v>230</v>
      </c>
      <c r="R247">
        <v>2019</v>
      </c>
      <c r="S247" t="s">
        <v>12</v>
      </c>
      <c r="T247">
        <v>106728.6</v>
      </c>
      <c r="U247">
        <v>77</v>
      </c>
      <c r="V247" t="s">
        <v>20</v>
      </c>
      <c r="W247" t="s">
        <v>15</v>
      </c>
      <c r="X247">
        <v>90882.48</v>
      </c>
      <c r="Y247">
        <v>975</v>
      </c>
      <c r="Z247">
        <v>425</v>
      </c>
      <c r="AA247">
        <v>6600</v>
      </c>
      <c r="AB247" s="1">
        <v>13.7700727272727</v>
      </c>
      <c r="AC247" t="s">
        <v>48</v>
      </c>
    </row>
    <row r="248" spans="1:29">
      <c r="A248">
        <v>427</v>
      </c>
      <c r="B248" t="s">
        <v>16</v>
      </c>
      <c r="C248" t="s">
        <v>23</v>
      </c>
      <c r="D248" t="s">
        <v>11</v>
      </c>
      <c r="E248">
        <v>185</v>
      </c>
      <c r="F248">
        <v>2022</v>
      </c>
      <c r="G248" t="s">
        <v>14</v>
      </c>
      <c r="H248">
        <v>29895.15</v>
      </c>
      <c r="I248">
        <v>0</v>
      </c>
      <c r="J248">
        <v>212</v>
      </c>
      <c r="K248">
        <v>250</v>
      </c>
      <c r="L248" t="s">
        <v>40</v>
      </c>
      <c r="M248">
        <v>71</v>
      </c>
      <c r="N248" t="s">
        <v>9</v>
      </c>
      <c r="O248" t="s">
        <v>10</v>
      </c>
      <c r="P248" t="s">
        <v>13</v>
      </c>
      <c r="Q248">
        <v>95</v>
      </c>
      <c r="R248">
        <v>2019</v>
      </c>
      <c r="S248" t="s">
        <v>12</v>
      </c>
      <c r="T248">
        <v>107901.72</v>
      </c>
      <c r="U248">
        <v>212</v>
      </c>
      <c r="V248" t="s">
        <v>9</v>
      </c>
      <c r="W248" t="s">
        <v>23</v>
      </c>
      <c r="X248">
        <v>90944.7</v>
      </c>
      <c r="Y248">
        <v>875</v>
      </c>
      <c r="Z248">
        <v>175</v>
      </c>
      <c r="AA248">
        <v>8400</v>
      </c>
      <c r="AB248">
        <v>10.826750000000001</v>
      </c>
      <c r="AC248" t="s">
        <v>48</v>
      </c>
    </row>
    <row r="249" spans="1:29">
      <c r="A249">
        <v>203</v>
      </c>
      <c r="B249" t="s">
        <v>16</v>
      </c>
      <c r="C249" t="s">
        <v>19</v>
      </c>
      <c r="D249" t="s">
        <v>13</v>
      </c>
      <c r="E249">
        <v>140</v>
      </c>
      <c r="F249">
        <v>2019</v>
      </c>
      <c r="G249" t="s">
        <v>12</v>
      </c>
      <c r="H249">
        <v>35824.68</v>
      </c>
      <c r="I249">
        <v>0</v>
      </c>
      <c r="J249">
        <v>238</v>
      </c>
      <c r="K249">
        <v>61</v>
      </c>
      <c r="L249" t="s">
        <v>40</v>
      </c>
      <c r="M249">
        <v>69</v>
      </c>
      <c r="N249" t="s">
        <v>16</v>
      </c>
      <c r="O249" t="s">
        <v>10</v>
      </c>
      <c r="P249" t="s">
        <v>11</v>
      </c>
      <c r="Q249">
        <v>225</v>
      </c>
      <c r="R249">
        <v>2018</v>
      </c>
      <c r="S249" t="s">
        <v>18</v>
      </c>
      <c r="T249">
        <v>21848.400000000001</v>
      </c>
      <c r="U249">
        <v>238</v>
      </c>
      <c r="V249" t="s">
        <v>9</v>
      </c>
      <c r="W249" t="s">
        <v>19</v>
      </c>
      <c r="X249">
        <v>91218.96</v>
      </c>
      <c r="Y249">
        <v>950</v>
      </c>
      <c r="Z249">
        <v>350</v>
      </c>
      <c r="AA249">
        <v>7200</v>
      </c>
      <c r="AB249" s="1">
        <v>12.6693</v>
      </c>
      <c r="AC249" t="s">
        <v>48</v>
      </c>
    </row>
    <row r="250" spans="1:29">
      <c r="A250">
        <v>173</v>
      </c>
      <c r="B250" t="s">
        <v>20</v>
      </c>
      <c r="C250" t="s">
        <v>19</v>
      </c>
      <c r="D250" t="s">
        <v>11</v>
      </c>
      <c r="E250">
        <v>160</v>
      </c>
      <c r="F250">
        <v>2019</v>
      </c>
      <c r="G250" t="s">
        <v>22</v>
      </c>
      <c r="H250">
        <v>116568.2</v>
      </c>
      <c r="I250">
        <v>0</v>
      </c>
      <c r="J250">
        <v>137</v>
      </c>
      <c r="K250">
        <v>330</v>
      </c>
      <c r="L250" t="s">
        <v>40</v>
      </c>
      <c r="M250">
        <v>78</v>
      </c>
      <c r="N250" t="s">
        <v>9</v>
      </c>
      <c r="O250" t="s">
        <v>15</v>
      </c>
      <c r="P250" t="s">
        <v>11</v>
      </c>
      <c r="Q250">
        <v>125</v>
      </c>
      <c r="R250">
        <v>2021</v>
      </c>
      <c r="S250" t="s">
        <v>22</v>
      </c>
      <c r="T250">
        <v>131312.4</v>
      </c>
      <c r="U250">
        <v>137</v>
      </c>
      <c r="V250" t="s">
        <v>9</v>
      </c>
      <c r="W250" t="s">
        <v>19</v>
      </c>
      <c r="X250">
        <v>91494.36</v>
      </c>
      <c r="Y250">
        <v>875</v>
      </c>
      <c r="Z250">
        <v>325</v>
      </c>
      <c r="AA250">
        <v>6600</v>
      </c>
      <c r="AB250" s="1">
        <v>13.8627818181818</v>
      </c>
      <c r="AC250" t="s">
        <v>48</v>
      </c>
    </row>
    <row r="251" spans="1:29">
      <c r="A251">
        <v>91</v>
      </c>
      <c r="B251" t="s">
        <v>9</v>
      </c>
      <c r="C251" t="s">
        <v>15</v>
      </c>
      <c r="D251" t="s">
        <v>11</v>
      </c>
      <c r="E251">
        <v>210</v>
      </c>
      <c r="F251">
        <v>2018</v>
      </c>
      <c r="G251" t="s">
        <v>12</v>
      </c>
      <c r="H251">
        <v>95193.63</v>
      </c>
      <c r="I251">
        <v>0</v>
      </c>
      <c r="J251">
        <v>125</v>
      </c>
      <c r="K251">
        <v>301</v>
      </c>
      <c r="L251" t="s">
        <v>40</v>
      </c>
      <c r="M251">
        <v>79</v>
      </c>
      <c r="N251" t="s">
        <v>9</v>
      </c>
      <c r="O251" t="s">
        <v>23</v>
      </c>
      <c r="P251" t="s">
        <v>11</v>
      </c>
      <c r="Q251">
        <v>110</v>
      </c>
      <c r="R251">
        <v>2021</v>
      </c>
      <c r="S251" t="s">
        <v>18</v>
      </c>
      <c r="T251">
        <v>120549.6</v>
      </c>
      <c r="U251">
        <v>125</v>
      </c>
      <c r="V251" t="s">
        <v>9</v>
      </c>
      <c r="W251" t="s">
        <v>15</v>
      </c>
      <c r="X251">
        <v>91581.88</v>
      </c>
      <c r="Y251">
        <v>875</v>
      </c>
      <c r="Z251">
        <v>200</v>
      </c>
      <c r="AA251">
        <v>8100</v>
      </c>
      <c r="AB251" s="1">
        <v>11.3064049382716</v>
      </c>
      <c r="AC251" t="s">
        <v>48</v>
      </c>
    </row>
    <row r="252" spans="1:29">
      <c r="A252">
        <v>192</v>
      </c>
      <c r="B252" t="s">
        <v>16</v>
      </c>
      <c r="C252" t="s">
        <v>19</v>
      </c>
      <c r="D252" t="s">
        <v>11</v>
      </c>
      <c r="E252">
        <v>135</v>
      </c>
      <c r="F252">
        <v>2019</v>
      </c>
      <c r="G252" t="s">
        <v>14</v>
      </c>
      <c r="H252">
        <v>30542.84</v>
      </c>
      <c r="I252">
        <v>0</v>
      </c>
      <c r="J252">
        <v>138</v>
      </c>
      <c r="K252">
        <v>487</v>
      </c>
      <c r="L252" t="s">
        <v>40</v>
      </c>
      <c r="M252">
        <v>78</v>
      </c>
      <c r="N252" t="s">
        <v>9</v>
      </c>
      <c r="O252" t="s">
        <v>15</v>
      </c>
      <c r="P252" t="s">
        <v>11</v>
      </c>
      <c r="Q252">
        <v>135</v>
      </c>
      <c r="R252">
        <v>2022</v>
      </c>
      <c r="S252" t="s">
        <v>12</v>
      </c>
      <c r="T252">
        <v>133226.25</v>
      </c>
      <c r="U252">
        <v>138</v>
      </c>
      <c r="V252" t="s">
        <v>9</v>
      </c>
      <c r="W252" t="s">
        <v>23</v>
      </c>
      <c r="X252">
        <v>92045.16</v>
      </c>
      <c r="Y252">
        <v>950</v>
      </c>
      <c r="AA252">
        <v>11400</v>
      </c>
      <c r="AB252" s="1">
        <v>8.0741368421052595</v>
      </c>
      <c r="AC252" t="s">
        <v>47</v>
      </c>
    </row>
    <row r="253" spans="1:29">
      <c r="A253">
        <v>449</v>
      </c>
      <c r="B253" t="s">
        <v>9</v>
      </c>
      <c r="C253" t="s">
        <v>23</v>
      </c>
      <c r="D253" t="s">
        <v>11</v>
      </c>
      <c r="E253">
        <v>230</v>
      </c>
      <c r="F253">
        <v>2022</v>
      </c>
      <c r="G253" t="s">
        <v>22</v>
      </c>
      <c r="H253">
        <v>128345.58</v>
      </c>
      <c r="I253">
        <v>0</v>
      </c>
      <c r="J253">
        <v>54</v>
      </c>
      <c r="K253">
        <v>407</v>
      </c>
      <c r="L253" t="s">
        <v>40</v>
      </c>
      <c r="M253">
        <v>85</v>
      </c>
      <c r="N253" t="s">
        <v>9</v>
      </c>
      <c r="O253" t="s">
        <v>19</v>
      </c>
      <c r="P253" t="s">
        <v>11</v>
      </c>
      <c r="Q253">
        <v>235</v>
      </c>
      <c r="R253">
        <v>2022</v>
      </c>
      <c r="S253" t="s">
        <v>12</v>
      </c>
      <c r="T253">
        <v>119570.76</v>
      </c>
      <c r="U253">
        <v>54</v>
      </c>
      <c r="V253" t="s">
        <v>9</v>
      </c>
      <c r="W253" t="s">
        <v>10</v>
      </c>
      <c r="X253">
        <v>92169.55</v>
      </c>
      <c r="Y253">
        <v>975</v>
      </c>
      <c r="Z253">
        <v>425</v>
      </c>
      <c r="AA253">
        <v>6600</v>
      </c>
      <c r="AB253" s="1">
        <v>13.9650833333333</v>
      </c>
      <c r="AC253" t="s">
        <v>48</v>
      </c>
    </row>
    <row r="254" spans="1:29">
      <c r="A254">
        <v>39</v>
      </c>
      <c r="B254" t="s">
        <v>16</v>
      </c>
      <c r="C254" t="s">
        <v>19</v>
      </c>
      <c r="D254" t="s">
        <v>11</v>
      </c>
      <c r="E254">
        <v>235</v>
      </c>
      <c r="F254">
        <v>2018</v>
      </c>
      <c r="G254" t="s">
        <v>14</v>
      </c>
      <c r="H254">
        <v>27865.95</v>
      </c>
      <c r="I254">
        <v>0</v>
      </c>
      <c r="J254">
        <v>69</v>
      </c>
      <c r="K254">
        <v>303</v>
      </c>
      <c r="L254" t="s">
        <v>40</v>
      </c>
      <c r="M254">
        <v>82</v>
      </c>
      <c r="N254" t="s">
        <v>9</v>
      </c>
      <c r="O254" t="s">
        <v>10</v>
      </c>
      <c r="P254" t="s">
        <v>13</v>
      </c>
      <c r="Q254">
        <v>190</v>
      </c>
      <c r="R254">
        <v>2021</v>
      </c>
      <c r="S254" t="s">
        <v>18</v>
      </c>
      <c r="T254">
        <v>96496.8</v>
      </c>
      <c r="U254">
        <v>69</v>
      </c>
      <c r="V254" t="s">
        <v>9</v>
      </c>
      <c r="W254" t="s">
        <v>19</v>
      </c>
      <c r="X254">
        <v>92378</v>
      </c>
      <c r="Y254">
        <v>950</v>
      </c>
      <c r="Z254">
        <v>275</v>
      </c>
      <c r="AA254">
        <v>8100</v>
      </c>
      <c r="AB254" s="1">
        <v>11.4046913580246</v>
      </c>
      <c r="AC254" t="s">
        <v>48</v>
      </c>
    </row>
    <row r="255" spans="1:29">
      <c r="A255">
        <v>375</v>
      </c>
      <c r="B255" t="s">
        <v>16</v>
      </c>
      <c r="C255" t="s">
        <v>19</v>
      </c>
      <c r="D255" t="s">
        <v>11</v>
      </c>
      <c r="E255">
        <v>115</v>
      </c>
      <c r="F255">
        <v>2021</v>
      </c>
      <c r="G255" t="s">
        <v>18</v>
      </c>
      <c r="H255">
        <v>39402</v>
      </c>
      <c r="I255">
        <v>0</v>
      </c>
      <c r="J255">
        <v>47</v>
      </c>
      <c r="K255">
        <v>296</v>
      </c>
      <c r="L255" t="s">
        <v>40</v>
      </c>
      <c r="M255">
        <v>85</v>
      </c>
      <c r="N255" t="s">
        <v>9</v>
      </c>
      <c r="O255" t="s">
        <v>15</v>
      </c>
      <c r="P255" t="s">
        <v>11</v>
      </c>
      <c r="Q255">
        <v>205</v>
      </c>
      <c r="R255">
        <v>2021</v>
      </c>
      <c r="S255" t="s">
        <v>12</v>
      </c>
      <c r="T255">
        <v>106387.2</v>
      </c>
      <c r="U255">
        <v>47</v>
      </c>
      <c r="V255" t="s">
        <v>9</v>
      </c>
      <c r="W255" t="s">
        <v>23</v>
      </c>
      <c r="X255">
        <v>92478.88</v>
      </c>
      <c r="Y255">
        <v>975</v>
      </c>
      <c r="Z255">
        <v>375</v>
      </c>
      <c r="AA255">
        <v>7200</v>
      </c>
      <c r="AB255" s="1">
        <v>12.8442888888888</v>
      </c>
      <c r="AC255" t="s">
        <v>48</v>
      </c>
    </row>
    <row r="256" spans="1:29">
      <c r="A256">
        <v>118</v>
      </c>
      <c r="B256" t="s">
        <v>16</v>
      </c>
      <c r="C256" t="s">
        <v>17</v>
      </c>
      <c r="D256" t="s">
        <v>11</v>
      </c>
      <c r="E256">
        <v>210</v>
      </c>
      <c r="F256">
        <v>2018</v>
      </c>
      <c r="G256" t="s">
        <v>14</v>
      </c>
      <c r="H256" s="1">
        <v>26424.3</v>
      </c>
      <c r="I256">
        <v>0</v>
      </c>
      <c r="J256">
        <v>12</v>
      </c>
      <c r="K256">
        <v>500</v>
      </c>
      <c r="L256" t="s">
        <v>40</v>
      </c>
      <c r="M256">
        <v>92</v>
      </c>
      <c r="N256" t="s">
        <v>20</v>
      </c>
      <c r="O256" t="s">
        <v>15</v>
      </c>
      <c r="P256" t="s">
        <v>11</v>
      </c>
      <c r="Q256">
        <v>170</v>
      </c>
      <c r="R256">
        <v>2022</v>
      </c>
      <c r="S256" t="s">
        <v>12</v>
      </c>
      <c r="T256">
        <v>121382.5</v>
      </c>
      <c r="U256">
        <v>12</v>
      </c>
      <c r="V256" t="s">
        <v>9</v>
      </c>
      <c r="W256" t="s">
        <v>17</v>
      </c>
      <c r="X256">
        <v>92789</v>
      </c>
      <c r="Y256">
        <v>875</v>
      </c>
      <c r="Z256">
        <v>225</v>
      </c>
      <c r="AA256">
        <v>7800</v>
      </c>
      <c r="AB256" s="1">
        <v>11.8960256410256</v>
      </c>
      <c r="AC256" t="s">
        <v>48</v>
      </c>
    </row>
    <row r="257" spans="1:29">
      <c r="A257">
        <v>141</v>
      </c>
      <c r="B257" t="s">
        <v>16</v>
      </c>
      <c r="C257" t="s">
        <v>17</v>
      </c>
      <c r="D257" t="s">
        <v>11</v>
      </c>
      <c r="E257">
        <v>105</v>
      </c>
      <c r="F257">
        <v>2019</v>
      </c>
      <c r="G257" t="s">
        <v>18</v>
      </c>
      <c r="H257" s="1" t="s">
        <v>30</v>
      </c>
      <c r="I257">
        <v>0</v>
      </c>
      <c r="J257">
        <v>180</v>
      </c>
      <c r="K257">
        <v>459</v>
      </c>
      <c r="L257" t="s">
        <v>40</v>
      </c>
      <c r="M257">
        <v>74</v>
      </c>
      <c r="N257" t="s">
        <v>9</v>
      </c>
      <c r="O257" t="s">
        <v>19</v>
      </c>
      <c r="P257" t="s">
        <v>11</v>
      </c>
      <c r="Q257">
        <v>110</v>
      </c>
      <c r="R257">
        <v>2022</v>
      </c>
      <c r="S257" t="s">
        <v>18</v>
      </c>
      <c r="T257">
        <v>132718.23000000001</v>
      </c>
      <c r="U257">
        <v>180</v>
      </c>
      <c r="V257" t="s">
        <v>9</v>
      </c>
      <c r="W257" t="s">
        <v>19</v>
      </c>
      <c r="X257">
        <v>93024.8</v>
      </c>
      <c r="Y257">
        <v>950</v>
      </c>
      <c r="Z257">
        <v>275</v>
      </c>
      <c r="AA257">
        <v>8100</v>
      </c>
      <c r="AB257" s="1">
        <v>11.484543209876501</v>
      </c>
      <c r="AC257" t="s">
        <v>48</v>
      </c>
    </row>
    <row r="258" spans="1:29">
      <c r="A258">
        <v>270</v>
      </c>
      <c r="B258" t="s">
        <v>16</v>
      </c>
      <c r="C258" t="s">
        <v>17</v>
      </c>
      <c r="D258" t="s">
        <v>11</v>
      </c>
      <c r="E258">
        <v>215</v>
      </c>
      <c r="F258">
        <v>2020</v>
      </c>
      <c r="G258" t="s">
        <v>14</v>
      </c>
      <c r="H258">
        <v>39086.25</v>
      </c>
      <c r="I258">
        <v>0</v>
      </c>
      <c r="J258">
        <v>30</v>
      </c>
      <c r="K258">
        <v>129</v>
      </c>
      <c r="L258" t="s">
        <v>40</v>
      </c>
      <c r="M258">
        <v>87</v>
      </c>
      <c r="N258" t="s">
        <v>9</v>
      </c>
      <c r="O258" t="s">
        <v>23</v>
      </c>
      <c r="P258" t="s">
        <v>11</v>
      </c>
      <c r="Q258">
        <v>205</v>
      </c>
      <c r="R258">
        <v>2019</v>
      </c>
      <c r="S258" t="s">
        <v>12</v>
      </c>
      <c r="T258">
        <v>85940.56</v>
      </c>
      <c r="U258">
        <v>30</v>
      </c>
      <c r="V258" t="s">
        <v>20</v>
      </c>
      <c r="W258" t="s">
        <v>23</v>
      </c>
      <c r="X258">
        <v>93365</v>
      </c>
      <c r="Y258">
        <v>875</v>
      </c>
      <c r="Z258">
        <v>400</v>
      </c>
      <c r="AA258">
        <v>5700</v>
      </c>
      <c r="AB258" s="1">
        <v>16.379824561403499</v>
      </c>
      <c r="AC258" t="s">
        <v>48</v>
      </c>
    </row>
    <row r="259" spans="1:29">
      <c r="A259">
        <v>48</v>
      </c>
      <c r="B259" t="s">
        <v>9</v>
      </c>
      <c r="C259" t="s">
        <v>19</v>
      </c>
      <c r="D259" t="s">
        <v>13</v>
      </c>
      <c r="E259">
        <v>120</v>
      </c>
      <c r="F259">
        <v>2018</v>
      </c>
      <c r="G259" t="s">
        <v>14</v>
      </c>
      <c r="H259">
        <v>95682.3</v>
      </c>
      <c r="I259">
        <v>0</v>
      </c>
      <c r="J259">
        <v>220</v>
      </c>
      <c r="K259">
        <v>350</v>
      </c>
      <c r="L259" t="s">
        <v>40</v>
      </c>
      <c r="M259">
        <v>70</v>
      </c>
      <c r="N259" t="s">
        <v>16</v>
      </c>
      <c r="O259" t="s">
        <v>19</v>
      </c>
      <c r="P259" t="s">
        <v>11</v>
      </c>
      <c r="Q259">
        <v>220</v>
      </c>
      <c r="R259">
        <v>2021</v>
      </c>
      <c r="S259" t="s">
        <v>14</v>
      </c>
      <c r="T259">
        <v>27264</v>
      </c>
      <c r="U259">
        <v>220</v>
      </c>
      <c r="V259" t="s">
        <v>9</v>
      </c>
      <c r="W259" t="s">
        <v>23</v>
      </c>
      <c r="X259">
        <v>93743.22</v>
      </c>
      <c r="Y259">
        <v>875</v>
      </c>
      <c r="Z259">
        <v>350</v>
      </c>
      <c r="AA259">
        <v>6300</v>
      </c>
      <c r="AB259" s="1">
        <v>14.8798761904761</v>
      </c>
      <c r="AC259" t="s">
        <v>48</v>
      </c>
    </row>
    <row r="260" spans="1:29">
      <c r="A260">
        <v>460</v>
      </c>
      <c r="B260" t="s">
        <v>16</v>
      </c>
      <c r="C260" t="s">
        <v>23</v>
      </c>
      <c r="D260" t="s">
        <v>11</v>
      </c>
      <c r="E260">
        <v>205</v>
      </c>
      <c r="F260">
        <v>2022</v>
      </c>
      <c r="G260" t="s">
        <v>22</v>
      </c>
      <c r="H260">
        <v>41480.519999999997</v>
      </c>
      <c r="I260">
        <v>0</v>
      </c>
      <c r="J260">
        <v>57</v>
      </c>
      <c r="K260">
        <v>423</v>
      </c>
      <c r="L260" t="s">
        <v>40</v>
      </c>
      <c r="M260">
        <v>85</v>
      </c>
      <c r="N260" t="s">
        <v>9</v>
      </c>
      <c r="O260" t="s">
        <v>15</v>
      </c>
      <c r="P260" t="s">
        <v>11</v>
      </c>
      <c r="Q260">
        <v>200</v>
      </c>
      <c r="R260">
        <v>2022</v>
      </c>
      <c r="S260" t="s">
        <v>22</v>
      </c>
      <c r="T260">
        <v>125300.1</v>
      </c>
      <c r="U260">
        <v>57</v>
      </c>
      <c r="V260" t="s">
        <v>9</v>
      </c>
      <c r="W260" t="s">
        <v>15</v>
      </c>
      <c r="X260">
        <v>94088.8</v>
      </c>
      <c r="Y260">
        <v>950</v>
      </c>
      <c r="Z260">
        <v>300</v>
      </c>
      <c r="AA260">
        <v>7800</v>
      </c>
      <c r="AB260" s="1">
        <v>12.062666666666599</v>
      </c>
      <c r="AC260" t="s">
        <v>48</v>
      </c>
    </row>
    <row r="261" spans="1:29">
      <c r="A261">
        <v>461</v>
      </c>
      <c r="B261" t="s">
        <v>16</v>
      </c>
      <c r="C261" t="s">
        <v>23</v>
      </c>
      <c r="D261" t="s">
        <v>11</v>
      </c>
      <c r="E261">
        <v>125</v>
      </c>
      <c r="F261">
        <v>2022</v>
      </c>
      <c r="G261" t="s">
        <v>22</v>
      </c>
      <c r="H261">
        <v>48907.26</v>
      </c>
      <c r="I261">
        <v>0</v>
      </c>
      <c r="J261">
        <v>164</v>
      </c>
      <c r="K261">
        <v>460</v>
      </c>
      <c r="L261" t="s">
        <v>40</v>
      </c>
      <c r="M261">
        <v>75</v>
      </c>
      <c r="N261" t="s">
        <v>16</v>
      </c>
      <c r="O261" t="s">
        <v>23</v>
      </c>
      <c r="P261" t="s">
        <v>11</v>
      </c>
      <c r="Q261">
        <v>205</v>
      </c>
      <c r="R261">
        <v>2022</v>
      </c>
      <c r="S261" t="s">
        <v>22</v>
      </c>
      <c r="T261">
        <v>41480.519999999997</v>
      </c>
      <c r="U261">
        <v>164</v>
      </c>
      <c r="V261" t="s">
        <v>9</v>
      </c>
      <c r="W261" t="s">
        <v>19</v>
      </c>
      <c r="X261">
        <v>94298.66</v>
      </c>
      <c r="Y261">
        <v>975</v>
      </c>
      <c r="Z261">
        <v>325</v>
      </c>
      <c r="AA261">
        <v>7800</v>
      </c>
      <c r="AB261" s="1">
        <v>12.0895717948717</v>
      </c>
      <c r="AC261" t="s">
        <v>48</v>
      </c>
    </row>
    <row r="262" spans="1:29">
      <c r="A262">
        <v>195</v>
      </c>
      <c r="B262" t="s">
        <v>16</v>
      </c>
      <c r="C262" t="s">
        <v>17</v>
      </c>
      <c r="D262" t="s">
        <v>11</v>
      </c>
      <c r="E262">
        <v>185</v>
      </c>
      <c r="F262">
        <v>2019</v>
      </c>
      <c r="G262" t="s">
        <v>12</v>
      </c>
      <c r="H262">
        <v>32039.279999999999</v>
      </c>
      <c r="I262">
        <v>0</v>
      </c>
      <c r="J262">
        <v>187</v>
      </c>
      <c r="K262">
        <v>410</v>
      </c>
      <c r="L262" t="s">
        <v>40</v>
      </c>
      <c r="M262">
        <v>73</v>
      </c>
      <c r="N262" t="s">
        <v>9</v>
      </c>
      <c r="O262" t="s">
        <v>17</v>
      </c>
      <c r="P262" t="s">
        <v>13</v>
      </c>
      <c r="Q262">
        <v>140</v>
      </c>
      <c r="R262">
        <v>2022</v>
      </c>
      <c r="S262" t="s">
        <v>14</v>
      </c>
      <c r="T262">
        <v>126424.32000000001</v>
      </c>
      <c r="U262">
        <v>187</v>
      </c>
      <c r="V262" t="s">
        <v>20</v>
      </c>
      <c r="W262" t="s">
        <v>19</v>
      </c>
      <c r="X262">
        <v>94305.02</v>
      </c>
      <c r="Y262">
        <v>875</v>
      </c>
      <c r="Z262">
        <v>400</v>
      </c>
      <c r="AA262">
        <v>5700</v>
      </c>
      <c r="AB262" s="1">
        <v>16.544740350877099</v>
      </c>
      <c r="AC262" t="s">
        <v>48</v>
      </c>
    </row>
    <row r="263" spans="1:29">
      <c r="A263">
        <v>162</v>
      </c>
      <c r="B263" t="s">
        <v>16</v>
      </c>
      <c r="C263" t="s">
        <v>17</v>
      </c>
      <c r="D263" t="s">
        <v>11</v>
      </c>
      <c r="E263">
        <v>175</v>
      </c>
      <c r="F263">
        <v>2019</v>
      </c>
      <c r="G263" t="s">
        <v>18</v>
      </c>
      <c r="H263" s="1">
        <v>34003.74</v>
      </c>
      <c r="I263">
        <v>0</v>
      </c>
      <c r="J263">
        <v>19</v>
      </c>
      <c r="K263">
        <v>388</v>
      </c>
      <c r="L263" t="s">
        <v>40</v>
      </c>
      <c r="M263">
        <v>90</v>
      </c>
      <c r="N263" t="s">
        <v>9</v>
      </c>
      <c r="O263" t="s">
        <v>23</v>
      </c>
      <c r="P263" t="s">
        <v>11</v>
      </c>
      <c r="Q263">
        <v>225</v>
      </c>
      <c r="R263">
        <v>2021</v>
      </c>
      <c r="S263" t="s">
        <v>18</v>
      </c>
      <c r="T263">
        <v>113912.4</v>
      </c>
      <c r="U263">
        <v>19</v>
      </c>
      <c r="V263" t="s">
        <v>9</v>
      </c>
      <c r="W263" t="s">
        <v>19</v>
      </c>
      <c r="X263">
        <v>94320</v>
      </c>
      <c r="Y263">
        <v>975</v>
      </c>
      <c r="Z263">
        <v>325</v>
      </c>
      <c r="AA263">
        <v>7800</v>
      </c>
      <c r="AB263" s="1">
        <v>12.0923076923076</v>
      </c>
      <c r="AC263" t="s">
        <v>48</v>
      </c>
    </row>
    <row r="264" spans="1:29">
      <c r="A264">
        <v>59</v>
      </c>
      <c r="B264" t="s">
        <v>9</v>
      </c>
      <c r="C264" t="s">
        <v>19</v>
      </c>
      <c r="D264" t="s">
        <v>11</v>
      </c>
      <c r="E264">
        <v>155</v>
      </c>
      <c r="F264">
        <v>2018</v>
      </c>
      <c r="G264" t="s">
        <v>22</v>
      </c>
      <c r="H264">
        <v>110199.7</v>
      </c>
      <c r="I264">
        <v>0</v>
      </c>
      <c r="J264">
        <v>72</v>
      </c>
      <c r="K264">
        <v>184</v>
      </c>
      <c r="L264" t="s">
        <v>40</v>
      </c>
      <c r="M264">
        <v>82</v>
      </c>
      <c r="N264" t="s">
        <v>9</v>
      </c>
      <c r="O264" t="s">
        <v>10</v>
      </c>
      <c r="P264" t="s">
        <v>13</v>
      </c>
      <c r="Q264">
        <v>215</v>
      </c>
      <c r="R264">
        <v>2019</v>
      </c>
      <c r="S264" t="s">
        <v>12</v>
      </c>
      <c r="T264">
        <v>99127.8</v>
      </c>
      <c r="U264">
        <v>72</v>
      </c>
      <c r="V264" t="s">
        <v>9</v>
      </c>
      <c r="W264" t="s">
        <v>17</v>
      </c>
      <c r="X264">
        <v>94441.36</v>
      </c>
      <c r="Y264">
        <v>950</v>
      </c>
      <c r="Z264">
        <v>375</v>
      </c>
      <c r="AA264">
        <v>6900</v>
      </c>
      <c r="AB264" s="1">
        <v>13.687153623188401</v>
      </c>
      <c r="AC264" t="s">
        <v>48</v>
      </c>
    </row>
    <row r="265" spans="1:29">
      <c r="A265">
        <v>349</v>
      </c>
      <c r="B265" t="s">
        <v>16</v>
      </c>
      <c r="C265" t="s">
        <v>23</v>
      </c>
      <c r="D265" t="s">
        <v>11</v>
      </c>
      <c r="E265">
        <v>120</v>
      </c>
      <c r="F265">
        <v>2021</v>
      </c>
      <c r="G265" t="s">
        <v>12</v>
      </c>
      <c r="H265">
        <v>37940.400000000001</v>
      </c>
      <c r="I265">
        <v>0</v>
      </c>
      <c r="J265">
        <v>99</v>
      </c>
      <c r="K265">
        <v>361</v>
      </c>
      <c r="L265" t="s">
        <v>40</v>
      </c>
      <c r="M265">
        <v>80</v>
      </c>
      <c r="N265" t="s">
        <v>9</v>
      </c>
      <c r="O265" t="s">
        <v>17</v>
      </c>
      <c r="P265" t="s">
        <v>13</v>
      </c>
      <c r="Q265">
        <v>210</v>
      </c>
      <c r="R265">
        <v>2021</v>
      </c>
      <c r="S265" t="s">
        <v>12</v>
      </c>
      <c r="T265">
        <v>119652</v>
      </c>
      <c r="U265">
        <v>99</v>
      </c>
      <c r="V265" t="s">
        <v>9</v>
      </c>
      <c r="W265" t="s">
        <v>19</v>
      </c>
      <c r="X265">
        <v>94621.28</v>
      </c>
      <c r="Y265">
        <v>950</v>
      </c>
      <c r="Z265">
        <v>350</v>
      </c>
      <c r="AA265">
        <v>7200</v>
      </c>
      <c r="AB265" s="1">
        <v>13.1418444444444</v>
      </c>
      <c r="AC265" t="s">
        <v>48</v>
      </c>
    </row>
    <row r="266" spans="1:29">
      <c r="A266">
        <v>158</v>
      </c>
      <c r="B266" t="s">
        <v>9</v>
      </c>
      <c r="C266" t="s">
        <v>15</v>
      </c>
      <c r="D266" t="s">
        <v>11</v>
      </c>
      <c r="E266">
        <v>195</v>
      </c>
      <c r="F266">
        <v>2019</v>
      </c>
      <c r="G266" t="s">
        <v>18</v>
      </c>
      <c r="H266" s="1">
        <v>87548.04</v>
      </c>
      <c r="I266">
        <v>0</v>
      </c>
      <c r="J266">
        <v>280</v>
      </c>
      <c r="K266">
        <v>428</v>
      </c>
      <c r="L266" t="s">
        <v>40</v>
      </c>
      <c r="M266">
        <v>67</v>
      </c>
      <c r="N266" t="s">
        <v>16</v>
      </c>
      <c r="O266" t="s">
        <v>15</v>
      </c>
      <c r="P266" t="s">
        <v>11</v>
      </c>
      <c r="Q266">
        <v>195</v>
      </c>
      <c r="R266">
        <v>2022</v>
      </c>
      <c r="S266" t="s">
        <v>18</v>
      </c>
      <c r="T266">
        <v>41653.949999999997</v>
      </c>
      <c r="U266">
        <v>280</v>
      </c>
      <c r="V266" t="s">
        <v>9</v>
      </c>
      <c r="W266" t="s">
        <v>23</v>
      </c>
      <c r="X266">
        <v>94686.74</v>
      </c>
      <c r="Y266">
        <v>950</v>
      </c>
      <c r="Z266">
        <v>175</v>
      </c>
      <c r="AA266">
        <v>9300</v>
      </c>
      <c r="AB266" s="1">
        <v>10.1813698924731</v>
      </c>
      <c r="AC266" t="s">
        <v>48</v>
      </c>
    </row>
    <row r="267" spans="1:29">
      <c r="A267">
        <v>436</v>
      </c>
      <c r="B267" t="s">
        <v>9</v>
      </c>
      <c r="C267" t="s">
        <v>10</v>
      </c>
      <c r="D267" t="s">
        <v>13</v>
      </c>
      <c r="E267">
        <v>240</v>
      </c>
      <c r="F267">
        <v>2022</v>
      </c>
      <c r="G267" t="s">
        <v>22</v>
      </c>
      <c r="H267">
        <v>116604</v>
      </c>
      <c r="I267">
        <v>0</v>
      </c>
      <c r="J267">
        <v>113</v>
      </c>
      <c r="K267">
        <v>76</v>
      </c>
      <c r="L267" t="s">
        <v>40</v>
      </c>
      <c r="M267">
        <v>79</v>
      </c>
      <c r="N267" t="s">
        <v>9</v>
      </c>
      <c r="O267" t="s">
        <v>19</v>
      </c>
      <c r="P267" t="s">
        <v>11</v>
      </c>
      <c r="Q267">
        <v>215</v>
      </c>
      <c r="R267">
        <v>2018</v>
      </c>
      <c r="S267" t="s">
        <v>14</v>
      </c>
      <c r="T267">
        <v>96011.45</v>
      </c>
      <c r="U267">
        <v>113</v>
      </c>
      <c r="V267" t="s">
        <v>9</v>
      </c>
      <c r="W267" t="s">
        <v>19</v>
      </c>
      <c r="X267">
        <v>94965.15</v>
      </c>
      <c r="Y267">
        <v>950</v>
      </c>
      <c r="Z267">
        <v>300</v>
      </c>
      <c r="AA267">
        <v>7800</v>
      </c>
      <c r="AB267" s="1">
        <v>12.1750192307692</v>
      </c>
      <c r="AC267" t="s">
        <v>48</v>
      </c>
    </row>
    <row r="268" spans="1:29">
      <c r="A268">
        <v>236</v>
      </c>
      <c r="B268" t="s">
        <v>20</v>
      </c>
      <c r="C268" t="s">
        <v>19</v>
      </c>
      <c r="D268" t="s">
        <v>11</v>
      </c>
      <c r="E268">
        <v>220</v>
      </c>
      <c r="F268">
        <v>2019</v>
      </c>
      <c r="G268" t="s">
        <v>14</v>
      </c>
      <c r="H268">
        <v>107577.8</v>
      </c>
      <c r="I268">
        <v>0</v>
      </c>
      <c r="J268">
        <v>91</v>
      </c>
      <c r="K268">
        <v>7</v>
      </c>
      <c r="L268" t="s">
        <v>40</v>
      </c>
      <c r="M268">
        <v>81</v>
      </c>
      <c r="N268" t="s">
        <v>9</v>
      </c>
      <c r="O268" t="s">
        <v>10</v>
      </c>
      <c r="P268" t="s">
        <v>11</v>
      </c>
      <c r="Q268">
        <v>185</v>
      </c>
      <c r="R268">
        <v>2017</v>
      </c>
      <c r="S268" t="s">
        <v>12</v>
      </c>
      <c r="T268">
        <v>82296</v>
      </c>
      <c r="U268">
        <v>91</v>
      </c>
      <c r="V268" t="s">
        <v>9</v>
      </c>
      <c r="W268" t="s">
        <v>15</v>
      </c>
      <c r="X268">
        <v>95193.63</v>
      </c>
      <c r="Y268">
        <v>875</v>
      </c>
      <c r="Z268">
        <v>250</v>
      </c>
      <c r="AA268">
        <v>7500</v>
      </c>
      <c r="AB268">
        <v>12.692484</v>
      </c>
      <c r="AC268" t="s">
        <v>48</v>
      </c>
    </row>
    <row r="269" spans="1:29">
      <c r="A269">
        <v>110</v>
      </c>
      <c r="B269" t="s">
        <v>9</v>
      </c>
      <c r="C269" t="s">
        <v>23</v>
      </c>
      <c r="D269" t="s">
        <v>11</v>
      </c>
      <c r="E269">
        <v>135</v>
      </c>
      <c r="F269">
        <v>2018</v>
      </c>
      <c r="G269" t="s">
        <v>14</v>
      </c>
      <c r="H269">
        <v>83491.8</v>
      </c>
      <c r="I269">
        <v>0</v>
      </c>
      <c r="J269">
        <v>130</v>
      </c>
      <c r="K269">
        <v>302</v>
      </c>
      <c r="L269" t="s">
        <v>40</v>
      </c>
      <c r="M269">
        <v>78</v>
      </c>
      <c r="N269" t="s">
        <v>9</v>
      </c>
      <c r="O269" t="s">
        <v>19</v>
      </c>
      <c r="P269" t="s">
        <v>11</v>
      </c>
      <c r="Q269">
        <v>155</v>
      </c>
      <c r="R269">
        <v>2021</v>
      </c>
      <c r="S269" t="s">
        <v>14</v>
      </c>
      <c r="T269">
        <v>97730.4</v>
      </c>
      <c r="U269">
        <v>130</v>
      </c>
      <c r="V269" t="s">
        <v>20</v>
      </c>
      <c r="W269" t="s">
        <v>19</v>
      </c>
      <c r="X269">
        <v>95341.7</v>
      </c>
      <c r="Y269">
        <v>975</v>
      </c>
      <c r="Z269">
        <v>375</v>
      </c>
      <c r="AA269">
        <v>7200</v>
      </c>
      <c r="AB269" s="1">
        <v>13.2419027777777</v>
      </c>
      <c r="AC269" t="s">
        <v>48</v>
      </c>
    </row>
    <row r="270" spans="1:29">
      <c r="A270">
        <v>377</v>
      </c>
      <c r="B270" t="s">
        <v>16</v>
      </c>
      <c r="C270" t="s">
        <v>17</v>
      </c>
      <c r="D270" t="s">
        <v>11</v>
      </c>
      <c r="E270">
        <v>155</v>
      </c>
      <c r="F270">
        <v>2021</v>
      </c>
      <c r="G270" t="s">
        <v>22</v>
      </c>
      <c r="H270">
        <v>33474</v>
      </c>
      <c r="I270">
        <v>0</v>
      </c>
      <c r="J270">
        <v>48</v>
      </c>
      <c r="K270">
        <v>456</v>
      </c>
      <c r="L270" t="s">
        <v>40</v>
      </c>
      <c r="M270">
        <v>85</v>
      </c>
      <c r="N270" t="s">
        <v>9</v>
      </c>
      <c r="O270" t="s">
        <v>23</v>
      </c>
      <c r="P270" t="s">
        <v>13</v>
      </c>
      <c r="Q270">
        <v>205</v>
      </c>
      <c r="R270">
        <v>2022</v>
      </c>
      <c r="S270" t="s">
        <v>12</v>
      </c>
      <c r="T270">
        <v>108028.44</v>
      </c>
      <c r="U270">
        <v>48</v>
      </c>
      <c r="V270" t="s">
        <v>9</v>
      </c>
      <c r="W270" t="s">
        <v>19</v>
      </c>
      <c r="X270">
        <v>95682.3</v>
      </c>
      <c r="Y270">
        <v>950</v>
      </c>
      <c r="Z270">
        <v>350</v>
      </c>
      <c r="AA270">
        <v>7200</v>
      </c>
      <c r="AB270" s="1">
        <v>13.289208333333301</v>
      </c>
      <c r="AC270" t="s">
        <v>48</v>
      </c>
    </row>
    <row r="271" spans="1:29">
      <c r="A271">
        <v>85</v>
      </c>
      <c r="B271" t="s">
        <v>16</v>
      </c>
      <c r="C271" t="s">
        <v>23</v>
      </c>
      <c r="D271" t="s">
        <v>11</v>
      </c>
      <c r="E271">
        <v>155</v>
      </c>
      <c r="F271">
        <v>2018</v>
      </c>
      <c r="G271" t="s">
        <v>22</v>
      </c>
      <c r="H271">
        <v>36601.949999999997</v>
      </c>
      <c r="I271">
        <v>0</v>
      </c>
      <c r="J271">
        <v>224</v>
      </c>
      <c r="K271">
        <v>358</v>
      </c>
      <c r="L271" t="s">
        <v>40</v>
      </c>
      <c r="M271">
        <v>70</v>
      </c>
      <c r="N271" t="s">
        <v>16</v>
      </c>
      <c r="O271" t="s">
        <v>17</v>
      </c>
      <c r="P271" t="s">
        <v>11</v>
      </c>
      <c r="Q271">
        <v>220</v>
      </c>
      <c r="R271">
        <v>2021</v>
      </c>
      <c r="S271" t="s">
        <v>14</v>
      </c>
      <c r="T271">
        <v>37182</v>
      </c>
      <c r="U271">
        <v>224</v>
      </c>
      <c r="V271" t="s">
        <v>9</v>
      </c>
      <c r="W271" t="s">
        <v>15</v>
      </c>
      <c r="X271">
        <v>95760.4</v>
      </c>
      <c r="Y271">
        <v>975</v>
      </c>
      <c r="Z271">
        <v>150</v>
      </c>
      <c r="AA271">
        <v>9900</v>
      </c>
      <c r="AB271" s="1">
        <v>9.6727676767676698</v>
      </c>
      <c r="AC271" t="s">
        <v>47</v>
      </c>
    </row>
    <row r="272" spans="1:29">
      <c r="A272">
        <v>136</v>
      </c>
      <c r="B272" t="s">
        <v>9</v>
      </c>
      <c r="C272" t="s">
        <v>19</v>
      </c>
      <c r="D272" t="s">
        <v>11</v>
      </c>
      <c r="E272">
        <v>230</v>
      </c>
      <c r="F272">
        <v>2019</v>
      </c>
      <c r="G272" t="s">
        <v>12</v>
      </c>
      <c r="H272">
        <v>106728.6</v>
      </c>
      <c r="I272">
        <v>0</v>
      </c>
      <c r="J272">
        <v>179</v>
      </c>
      <c r="K272">
        <v>318</v>
      </c>
      <c r="L272" t="s">
        <v>40</v>
      </c>
      <c r="M272">
        <v>74</v>
      </c>
      <c r="N272" t="s">
        <v>9</v>
      </c>
      <c r="O272" t="s">
        <v>15</v>
      </c>
      <c r="P272" t="s">
        <v>11</v>
      </c>
      <c r="Q272">
        <v>90</v>
      </c>
      <c r="R272">
        <v>2021</v>
      </c>
      <c r="S272" t="s">
        <v>12</v>
      </c>
      <c r="T272">
        <v>127162.8</v>
      </c>
      <c r="U272">
        <v>179</v>
      </c>
      <c r="V272" t="s">
        <v>9</v>
      </c>
      <c r="W272" t="s">
        <v>23</v>
      </c>
      <c r="X272">
        <v>95797.08</v>
      </c>
      <c r="Y272">
        <v>875</v>
      </c>
      <c r="Z272">
        <v>400</v>
      </c>
      <c r="AA272">
        <v>5700</v>
      </c>
      <c r="AB272" s="1">
        <v>16.806505263157799</v>
      </c>
      <c r="AC272" t="s">
        <v>48</v>
      </c>
    </row>
    <row r="273" spans="1:29">
      <c r="A273">
        <v>88</v>
      </c>
      <c r="B273" t="s">
        <v>16</v>
      </c>
      <c r="C273" t="s">
        <v>23</v>
      </c>
      <c r="D273" t="s">
        <v>13</v>
      </c>
      <c r="E273">
        <v>130</v>
      </c>
      <c r="F273">
        <v>2018</v>
      </c>
      <c r="G273" t="s">
        <v>14</v>
      </c>
      <c r="H273">
        <v>28656.66</v>
      </c>
      <c r="I273">
        <v>0</v>
      </c>
      <c r="J273">
        <v>75</v>
      </c>
      <c r="K273">
        <v>134</v>
      </c>
      <c r="L273" t="s">
        <v>40</v>
      </c>
      <c r="M273">
        <v>82</v>
      </c>
      <c r="N273" t="s">
        <v>9</v>
      </c>
      <c r="O273" t="s">
        <v>10</v>
      </c>
      <c r="P273" t="s">
        <v>13</v>
      </c>
      <c r="Q273">
        <v>235</v>
      </c>
      <c r="R273">
        <v>2019</v>
      </c>
      <c r="S273" t="s">
        <v>18</v>
      </c>
      <c r="T273">
        <v>103370.04</v>
      </c>
      <c r="U273">
        <v>75</v>
      </c>
      <c r="V273" t="s">
        <v>20</v>
      </c>
      <c r="W273" t="s">
        <v>10</v>
      </c>
      <c r="X273">
        <v>95874.46</v>
      </c>
      <c r="Y273">
        <v>875</v>
      </c>
      <c r="Z273">
        <v>375</v>
      </c>
      <c r="AA273">
        <v>6000</v>
      </c>
      <c r="AB273" s="1">
        <v>15.9790766666666</v>
      </c>
      <c r="AC273" t="s">
        <v>48</v>
      </c>
    </row>
    <row r="274" spans="1:29">
      <c r="A274">
        <v>98</v>
      </c>
      <c r="B274" t="s">
        <v>16</v>
      </c>
      <c r="C274" t="s">
        <v>10</v>
      </c>
      <c r="D274" t="s">
        <v>11</v>
      </c>
      <c r="E274">
        <v>95</v>
      </c>
      <c r="F274">
        <v>2018</v>
      </c>
      <c r="G274" t="s">
        <v>22</v>
      </c>
      <c r="H274">
        <v>37945.199999999997</v>
      </c>
      <c r="I274">
        <v>0</v>
      </c>
      <c r="J274">
        <v>176</v>
      </c>
      <c r="K274">
        <v>142</v>
      </c>
      <c r="L274" t="s">
        <v>40</v>
      </c>
      <c r="M274">
        <v>74</v>
      </c>
      <c r="N274" t="s">
        <v>9</v>
      </c>
      <c r="O274" t="s">
        <v>19</v>
      </c>
      <c r="P274" t="s">
        <v>13</v>
      </c>
      <c r="Q274">
        <v>175</v>
      </c>
      <c r="R274">
        <v>2019</v>
      </c>
      <c r="S274" t="s">
        <v>14</v>
      </c>
      <c r="T274">
        <v>104130.16</v>
      </c>
      <c r="U274">
        <v>176</v>
      </c>
      <c r="V274" t="s">
        <v>9</v>
      </c>
      <c r="W274" t="s">
        <v>10</v>
      </c>
      <c r="X274">
        <v>95966.04</v>
      </c>
      <c r="Y274">
        <v>975</v>
      </c>
      <c r="Z274">
        <v>225</v>
      </c>
      <c r="AA274">
        <v>9000</v>
      </c>
      <c r="AB274" s="1">
        <v>10.662893333333299</v>
      </c>
      <c r="AC274" t="s">
        <v>48</v>
      </c>
    </row>
    <row r="275" spans="1:29">
      <c r="A275">
        <v>484</v>
      </c>
      <c r="B275" t="s">
        <v>16</v>
      </c>
      <c r="C275" t="s">
        <v>19</v>
      </c>
      <c r="D275" t="s">
        <v>29</v>
      </c>
      <c r="E275">
        <v>100</v>
      </c>
      <c r="F275">
        <v>2022</v>
      </c>
      <c r="G275" t="s">
        <v>14</v>
      </c>
      <c r="H275">
        <v>112375</v>
      </c>
      <c r="I275">
        <v>0</v>
      </c>
      <c r="J275">
        <v>167</v>
      </c>
      <c r="K275">
        <v>264</v>
      </c>
      <c r="L275" t="s">
        <v>40</v>
      </c>
      <c r="M275">
        <v>75</v>
      </c>
      <c r="N275" t="s">
        <v>9</v>
      </c>
      <c r="O275" t="s">
        <v>17</v>
      </c>
      <c r="P275" t="s">
        <v>11</v>
      </c>
      <c r="Q275">
        <v>130</v>
      </c>
      <c r="R275">
        <v>2020</v>
      </c>
      <c r="S275" t="s">
        <v>22</v>
      </c>
      <c r="T275">
        <v>102783.75</v>
      </c>
      <c r="U275">
        <v>167</v>
      </c>
      <c r="V275" t="s">
        <v>9</v>
      </c>
      <c r="W275" t="s">
        <v>17</v>
      </c>
      <c r="X275">
        <v>95994.72</v>
      </c>
      <c r="Y275">
        <v>975</v>
      </c>
      <c r="Z275">
        <v>200</v>
      </c>
      <c r="AA275">
        <v>9300</v>
      </c>
      <c r="AB275" s="1">
        <v>10.322012903225801</v>
      </c>
      <c r="AC275" t="s">
        <v>48</v>
      </c>
    </row>
    <row r="276" spans="1:29">
      <c r="A276">
        <v>99</v>
      </c>
      <c r="B276" t="s">
        <v>9</v>
      </c>
      <c r="C276" t="s">
        <v>19</v>
      </c>
      <c r="D276" t="s">
        <v>13</v>
      </c>
      <c r="E276">
        <v>90</v>
      </c>
      <c r="F276">
        <v>2018</v>
      </c>
      <c r="G276" t="s">
        <v>14</v>
      </c>
      <c r="H276">
        <v>94621.28</v>
      </c>
      <c r="I276">
        <v>0</v>
      </c>
      <c r="J276">
        <v>76</v>
      </c>
      <c r="K276">
        <v>215</v>
      </c>
      <c r="L276" t="s">
        <v>40</v>
      </c>
      <c r="M276">
        <v>82</v>
      </c>
      <c r="N276" t="s">
        <v>9</v>
      </c>
      <c r="O276" t="s">
        <v>10</v>
      </c>
      <c r="P276" t="s">
        <v>13</v>
      </c>
      <c r="Q276">
        <v>235</v>
      </c>
      <c r="R276">
        <v>2019</v>
      </c>
      <c r="S276" t="s">
        <v>14</v>
      </c>
      <c r="T276">
        <v>103862.52</v>
      </c>
      <c r="U276">
        <v>76</v>
      </c>
      <c r="V276" t="s">
        <v>9</v>
      </c>
      <c r="W276" t="s">
        <v>19</v>
      </c>
      <c r="X276">
        <v>96011.45</v>
      </c>
      <c r="Y276">
        <v>950</v>
      </c>
      <c r="Z276">
        <v>300</v>
      </c>
      <c r="AA276">
        <v>7800</v>
      </c>
      <c r="AB276" s="1">
        <v>12.3091602564102</v>
      </c>
      <c r="AC276" t="s">
        <v>48</v>
      </c>
    </row>
    <row r="277" spans="1:29">
      <c r="A277">
        <v>244</v>
      </c>
      <c r="B277" t="s">
        <v>16</v>
      </c>
      <c r="C277" t="s">
        <v>23</v>
      </c>
      <c r="D277" t="s">
        <v>11</v>
      </c>
      <c r="E277">
        <v>240</v>
      </c>
      <c r="F277">
        <v>2019</v>
      </c>
      <c r="G277" t="s">
        <v>22</v>
      </c>
      <c r="H277">
        <v>41961.16</v>
      </c>
      <c r="I277">
        <v>0</v>
      </c>
      <c r="J277">
        <v>144</v>
      </c>
      <c r="K277">
        <v>355</v>
      </c>
      <c r="L277" t="s">
        <v>40</v>
      </c>
      <c r="M277">
        <v>77</v>
      </c>
      <c r="N277" t="s">
        <v>9</v>
      </c>
      <c r="O277" t="s">
        <v>19</v>
      </c>
      <c r="P277" t="s">
        <v>13</v>
      </c>
      <c r="Q277">
        <v>195</v>
      </c>
      <c r="R277">
        <v>2021</v>
      </c>
      <c r="S277" t="s">
        <v>14</v>
      </c>
      <c r="T277">
        <v>98618.4</v>
      </c>
      <c r="U277">
        <v>144</v>
      </c>
      <c r="V277" t="s">
        <v>9</v>
      </c>
      <c r="W277" t="s">
        <v>19</v>
      </c>
      <c r="X277">
        <v>96296.76</v>
      </c>
      <c r="Y277">
        <v>825</v>
      </c>
      <c r="Z277">
        <v>325</v>
      </c>
      <c r="AA277">
        <v>6000</v>
      </c>
      <c r="AB277">
        <v>16.04946</v>
      </c>
      <c r="AC277" t="s">
        <v>48</v>
      </c>
    </row>
    <row r="278" spans="1:29">
      <c r="A278">
        <v>478</v>
      </c>
      <c r="B278" t="s">
        <v>9</v>
      </c>
      <c r="C278" t="s">
        <v>23</v>
      </c>
      <c r="D278" t="s">
        <v>13</v>
      </c>
      <c r="E278">
        <v>220</v>
      </c>
      <c r="F278">
        <v>2022</v>
      </c>
      <c r="G278" t="s">
        <v>18</v>
      </c>
      <c r="H278">
        <v>124838.75</v>
      </c>
      <c r="I278">
        <v>0</v>
      </c>
      <c r="J278">
        <v>319</v>
      </c>
      <c r="K278">
        <v>275</v>
      </c>
      <c r="L278" t="s">
        <v>41</v>
      </c>
      <c r="M278">
        <v>64</v>
      </c>
      <c r="N278" t="s">
        <v>16</v>
      </c>
      <c r="O278" t="s">
        <v>19</v>
      </c>
      <c r="P278" t="s">
        <v>11</v>
      </c>
      <c r="Q278">
        <v>180</v>
      </c>
      <c r="R278">
        <v>2020</v>
      </c>
      <c r="S278" t="s">
        <v>12</v>
      </c>
      <c r="T278">
        <v>44290</v>
      </c>
      <c r="U278">
        <v>319</v>
      </c>
      <c r="V278" t="s">
        <v>9</v>
      </c>
      <c r="W278" t="s">
        <v>10</v>
      </c>
      <c r="X278">
        <v>96421.2</v>
      </c>
      <c r="Y278">
        <v>950</v>
      </c>
      <c r="Z278">
        <v>325</v>
      </c>
      <c r="AA278">
        <v>7500</v>
      </c>
      <c r="AB278">
        <v>12.856159999999999</v>
      </c>
      <c r="AC278" t="s">
        <v>48</v>
      </c>
    </row>
    <row r="279" spans="1:29">
      <c r="A279">
        <v>101</v>
      </c>
      <c r="B279" t="s">
        <v>20</v>
      </c>
      <c r="C279" t="s">
        <v>15</v>
      </c>
      <c r="D279" t="s">
        <v>21</v>
      </c>
      <c r="E279">
        <v>240</v>
      </c>
      <c r="F279">
        <v>2018</v>
      </c>
      <c r="G279" t="s">
        <v>14</v>
      </c>
      <c r="H279">
        <v>106028</v>
      </c>
      <c r="I279">
        <v>0</v>
      </c>
      <c r="J279">
        <v>10</v>
      </c>
      <c r="K279">
        <v>133</v>
      </c>
      <c r="L279" t="s">
        <v>40</v>
      </c>
      <c r="M279">
        <v>92</v>
      </c>
      <c r="N279" t="s">
        <v>20</v>
      </c>
      <c r="O279" t="s">
        <v>19</v>
      </c>
      <c r="P279" t="s">
        <v>11</v>
      </c>
      <c r="Q279">
        <v>215</v>
      </c>
      <c r="R279">
        <v>2019</v>
      </c>
      <c r="S279" t="s">
        <v>12</v>
      </c>
      <c r="T279">
        <v>107933.44</v>
      </c>
      <c r="U279">
        <v>10</v>
      </c>
      <c r="V279" t="s">
        <v>9</v>
      </c>
      <c r="W279" t="s">
        <v>19</v>
      </c>
      <c r="X279">
        <v>96442</v>
      </c>
      <c r="Y279">
        <v>975</v>
      </c>
      <c r="Z279">
        <v>325</v>
      </c>
      <c r="AA279">
        <v>7800</v>
      </c>
      <c r="AB279" s="1">
        <v>12.3643589743589</v>
      </c>
      <c r="AC279" t="s">
        <v>48</v>
      </c>
    </row>
    <row r="280" spans="1:29">
      <c r="A280">
        <v>353</v>
      </c>
      <c r="B280" t="s">
        <v>16</v>
      </c>
      <c r="C280" t="s">
        <v>19</v>
      </c>
      <c r="D280" t="s">
        <v>24</v>
      </c>
      <c r="E280">
        <v>140</v>
      </c>
      <c r="F280">
        <v>2021</v>
      </c>
      <c r="G280" t="s">
        <v>14</v>
      </c>
      <c r="H280">
        <v>38110.800000000003</v>
      </c>
      <c r="I280">
        <v>0</v>
      </c>
      <c r="J280">
        <v>303</v>
      </c>
      <c r="K280">
        <v>213</v>
      </c>
      <c r="L280" t="s">
        <v>41</v>
      </c>
      <c r="M280">
        <v>64</v>
      </c>
      <c r="N280" t="s">
        <v>16</v>
      </c>
      <c r="O280" t="s">
        <v>19</v>
      </c>
      <c r="P280" t="s">
        <v>11</v>
      </c>
      <c r="Q280">
        <v>190</v>
      </c>
      <c r="R280">
        <v>2019</v>
      </c>
      <c r="S280" t="s">
        <v>22</v>
      </c>
      <c r="T280">
        <v>25100.9</v>
      </c>
      <c r="U280">
        <v>303</v>
      </c>
      <c r="V280" t="s">
        <v>9</v>
      </c>
      <c r="W280" t="s">
        <v>10</v>
      </c>
      <c r="X280">
        <v>96496.8</v>
      </c>
      <c r="Y280">
        <v>825</v>
      </c>
      <c r="Z280">
        <v>200</v>
      </c>
      <c r="AA280">
        <v>7500</v>
      </c>
      <c r="AB280">
        <v>12.866239999999999</v>
      </c>
      <c r="AC280" t="s">
        <v>48</v>
      </c>
    </row>
    <row r="281" spans="1:29">
      <c r="A281">
        <v>87</v>
      </c>
      <c r="B281" t="s">
        <v>16</v>
      </c>
      <c r="C281" t="s">
        <v>10</v>
      </c>
      <c r="D281" t="s">
        <v>13</v>
      </c>
      <c r="E281">
        <v>195</v>
      </c>
      <c r="F281">
        <v>2018</v>
      </c>
      <c r="G281" t="s">
        <v>22</v>
      </c>
      <c r="H281">
        <v>26408.17</v>
      </c>
      <c r="I281">
        <v>0</v>
      </c>
      <c r="J281">
        <v>175</v>
      </c>
      <c r="K281">
        <v>320</v>
      </c>
      <c r="L281" t="s">
        <v>40</v>
      </c>
      <c r="M281">
        <v>74</v>
      </c>
      <c r="N281" t="s">
        <v>9</v>
      </c>
      <c r="O281" t="s">
        <v>10</v>
      </c>
      <c r="P281" t="s">
        <v>13</v>
      </c>
      <c r="Q281">
        <v>90</v>
      </c>
      <c r="R281">
        <v>2021</v>
      </c>
      <c r="S281" t="s">
        <v>14</v>
      </c>
      <c r="T281">
        <v>102979.2</v>
      </c>
      <c r="U281">
        <v>175</v>
      </c>
      <c r="V281" t="s">
        <v>9</v>
      </c>
      <c r="W281" t="s">
        <v>10</v>
      </c>
      <c r="X281">
        <v>96691.32</v>
      </c>
      <c r="Y281">
        <v>875</v>
      </c>
      <c r="Z281">
        <v>200</v>
      </c>
      <c r="AA281">
        <v>8100</v>
      </c>
      <c r="AB281">
        <v>11.937200000000001</v>
      </c>
      <c r="AC281" t="s">
        <v>48</v>
      </c>
    </row>
    <row r="282" spans="1:29">
      <c r="A282">
        <v>457</v>
      </c>
      <c r="B282" t="s">
        <v>9</v>
      </c>
      <c r="C282" t="s">
        <v>19</v>
      </c>
      <c r="D282" t="s">
        <v>13</v>
      </c>
      <c r="E282">
        <v>210</v>
      </c>
      <c r="F282">
        <v>2022</v>
      </c>
      <c r="G282" t="s">
        <v>12</v>
      </c>
      <c r="H282">
        <v>131089.71</v>
      </c>
      <c r="I282">
        <v>0</v>
      </c>
      <c r="J282">
        <v>368</v>
      </c>
      <c r="K282">
        <v>160</v>
      </c>
      <c r="L282" t="s">
        <v>41</v>
      </c>
      <c r="M282">
        <v>60</v>
      </c>
      <c r="N282" t="s">
        <v>16</v>
      </c>
      <c r="O282" t="s">
        <v>19</v>
      </c>
      <c r="P282" t="s">
        <v>11</v>
      </c>
      <c r="Q282">
        <v>145</v>
      </c>
      <c r="R282">
        <v>2019</v>
      </c>
      <c r="S282" t="s">
        <v>22</v>
      </c>
      <c r="T282">
        <v>36601.4</v>
      </c>
      <c r="U282">
        <v>368</v>
      </c>
      <c r="V282" t="s">
        <v>9</v>
      </c>
      <c r="W282" t="s">
        <v>15</v>
      </c>
      <c r="X282">
        <v>96958.8</v>
      </c>
      <c r="Y282">
        <v>950</v>
      </c>
      <c r="Z282">
        <v>200</v>
      </c>
      <c r="AA282">
        <v>9000</v>
      </c>
      <c r="AB282">
        <v>10.773199999999999</v>
      </c>
      <c r="AC282" t="s">
        <v>48</v>
      </c>
    </row>
    <row r="283" spans="1:29">
      <c r="A283">
        <v>111</v>
      </c>
      <c r="B283" t="s">
        <v>9</v>
      </c>
      <c r="C283" t="s">
        <v>19</v>
      </c>
      <c r="D283" t="s">
        <v>13</v>
      </c>
      <c r="E283">
        <v>190</v>
      </c>
      <c r="F283">
        <v>2018</v>
      </c>
      <c r="G283" t="s">
        <v>18</v>
      </c>
      <c r="H283">
        <v>108838.8</v>
      </c>
      <c r="I283">
        <v>0</v>
      </c>
      <c r="J283">
        <v>332</v>
      </c>
      <c r="K283">
        <v>455</v>
      </c>
      <c r="L283" t="s">
        <v>41</v>
      </c>
      <c r="M283">
        <v>63</v>
      </c>
      <c r="N283" t="s">
        <v>16</v>
      </c>
      <c r="O283" t="s">
        <v>17</v>
      </c>
      <c r="P283" t="s">
        <v>11</v>
      </c>
      <c r="Q283">
        <v>145</v>
      </c>
      <c r="R283">
        <v>2022</v>
      </c>
      <c r="S283" t="s">
        <v>12</v>
      </c>
      <c r="T283">
        <v>49142.19</v>
      </c>
      <c r="U283">
        <v>332</v>
      </c>
      <c r="V283" t="s">
        <v>9</v>
      </c>
      <c r="W283" t="s">
        <v>15</v>
      </c>
      <c r="X283">
        <v>97030.8</v>
      </c>
      <c r="Y283">
        <v>950</v>
      </c>
      <c r="Z283">
        <v>450</v>
      </c>
      <c r="AA283">
        <v>6000</v>
      </c>
      <c r="AB283">
        <v>16.171800000000001</v>
      </c>
      <c r="AC283" t="s">
        <v>48</v>
      </c>
    </row>
    <row r="284" spans="1:29">
      <c r="A284">
        <v>492</v>
      </c>
      <c r="B284" t="s">
        <v>20</v>
      </c>
      <c r="C284" t="s">
        <v>15</v>
      </c>
      <c r="D284" t="s">
        <v>13</v>
      </c>
      <c r="E284">
        <v>130</v>
      </c>
      <c r="F284">
        <v>2022</v>
      </c>
      <c r="G284" t="s">
        <v>12</v>
      </c>
      <c r="H284">
        <v>111505</v>
      </c>
      <c r="I284">
        <v>0</v>
      </c>
      <c r="J284">
        <v>325</v>
      </c>
      <c r="K284">
        <v>344</v>
      </c>
      <c r="L284" t="s">
        <v>41</v>
      </c>
      <c r="M284">
        <v>63</v>
      </c>
      <c r="N284" t="s">
        <v>16</v>
      </c>
      <c r="O284" t="s">
        <v>19</v>
      </c>
      <c r="P284" t="s">
        <v>11</v>
      </c>
      <c r="Q284">
        <v>130</v>
      </c>
      <c r="R284">
        <v>2021</v>
      </c>
      <c r="S284" t="s">
        <v>14</v>
      </c>
      <c r="T284">
        <v>35658</v>
      </c>
      <c r="U284">
        <v>325</v>
      </c>
      <c r="V284" t="s">
        <v>9</v>
      </c>
      <c r="W284" t="s">
        <v>19</v>
      </c>
      <c r="X284">
        <v>97430.399999999994</v>
      </c>
      <c r="Y284">
        <v>975</v>
      </c>
      <c r="Z284">
        <v>450</v>
      </c>
      <c r="AA284">
        <v>6300</v>
      </c>
      <c r="AB284" s="1">
        <v>15.4651428571428</v>
      </c>
      <c r="AC284" t="s">
        <v>48</v>
      </c>
    </row>
    <row r="285" spans="1:29">
      <c r="A285">
        <v>340</v>
      </c>
      <c r="B285" t="s">
        <v>9</v>
      </c>
      <c r="C285" t="s">
        <v>19</v>
      </c>
      <c r="D285" t="s">
        <v>13</v>
      </c>
      <c r="E285">
        <v>150</v>
      </c>
      <c r="F285">
        <v>2021</v>
      </c>
      <c r="G285" t="s">
        <v>14</v>
      </c>
      <c r="H285">
        <v>118746</v>
      </c>
      <c r="I285">
        <v>0</v>
      </c>
      <c r="J285">
        <v>302</v>
      </c>
      <c r="K285">
        <v>16</v>
      </c>
      <c r="L285" t="s">
        <v>41</v>
      </c>
      <c r="M285">
        <v>64</v>
      </c>
      <c r="N285" t="s">
        <v>16</v>
      </c>
      <c r="O285" t="s">
        <v>17</v>
      </c>
      <c r="P285" t="s">
        <v>11</v>
      </c>
      <c r="Q285">
        <v>210</v>
      </c>
      <c r="R285">
        <v>2017</v>
      </c>
      <c r="S285" t="s">
        <v>14</v>
      </c>
      <c r="T285">
        <v>23964</v>
      </c>
      <c r="U285">
        <v>302</v>
      </c>
      <c r="V285" t="s">
        <v>9</v>
      </c>
      <c r="W285" t="s">
        <v>19</v>
      </c>
      <c r="X285">
        <v>97730.4</v>
      </c>
      <c r="Y285">
        <v>950</v>
      </c>
      <c r="Z285">
        <v>275</v>
      </c>
      <c r="AA285">
        <v>8100</v>
      </c>
      <c r="AB285" s="1">
        <v>12.065481481481401</v>
      </c>
      <c r="AC285" t="s">
        <v>48</v>
      </c>
    </row>
    <row r="286" spans="1:29">
      <c r="A286">
        <v>198</v>
      </c>
      <c r="B286" t="s">
        <v>16</v>
      </c>
      <c r="C286" t="s">
        <v>17</v>
      </c>
      <c r="D286" t="s">
        <v>13</v>
      </c>
      <c r="E286">
        <v>135</v>
      </c>
      <c r="F286">
        <v>2019</v>
      </c>
      <c r="G286" t="s">
        <v>22</v>
      </c>
      <c r="H286" s="1">
        <v>26142.48</v>
      </c>
      <c r="I286">
        <v>0</v>
      </c>
      <c r="J286">
        <v>24</v>
      </c>
      <c r="K286">
        <v>109</v>
      </c>
      <c r="L286" t="s">
        <v>40</v>
      </c>
      <c r="M286">
        <v>89</v>
      </c>
      <c r="N286" t="s">
        <v>20</v>
      </c>
      <c r="O286" t="s">
        <v>15</v>
      </c>
      <c r="P286" t="s">
        <v>11</v>
      </c>
      <c r="Q286">
        <v>205</v>
      </c>
      <c r="R286">
        <v>2018</v>
      </c>
      <c r="S286" t="s">
        <v>12</v>
      </c>
      <c r="T286">
        <v>82589.52</v>
      </c>
      <c r="U286">
        <v>24</v>
      </c>
      <c r="V286" t="s">
        <v>9</v>
      </c>
      <c r="W286" t="s">
        <v>17</v>
      </c>
      <c r="X286">
        <v>97806</v>
      </c>
      <c r="Y286">
        <v>950</v>
      </c>
      <c r="Z286">
        <v>450</v>
      </c>
      <c r="AA286">
        <v>6000</v>
      </c>
      <c r="AB286">
        <v>16.300999999999998</v>
      </c>
      <c r="AC286" t="s">
        <v>48</v>
      </c>
    </row>
    <row r="287" spans="1:29">
      <c r="A287">
        <v>337</v>
      </c>
      <c r="B287" t="s">
        <v>9</v>
      </c>
      <c r="C287" t="s">
        <v>15</v>
      </c>
      <c r="D287" t="s">
        <v>13</v>
      </c>
      <c r="E287">
        <v>220</v>
      </c>
      <c r="F287">
        <v>2021</v>
      </c>
      <c r="G287" t="s">
        <v>12</v>
      </c>
      <c r="H287">
        <v>121363.2</v>
      </c>
      <c r="I287">
        <v>0</v>
      </c>
      <c r="J287">
        <v>300</v>
      </c>
      <c r="K287">
        <v>206</v>
      </c>
      <c r="L287" t="s">
        <v>41</v>
      </c>
      <c r="M287">
        <v>64</v>
      </c>
      <c r="N287" t="s">
        <v>16</v>
      </c>
      <c r="O287" t="s">
        <v>17</v>
      </c>
      <c r="P287" t="s">
        <v>11</v>
      </c>
      <c r="Q287">
        <v>165</v>
      </c>
      <c r="R287">
        <v>2019</v>
      </c>
      <c r="S287" t="s">
        <v>14</v>
      </c>
      <c r="T287">
        <v>21913.38</v>
      </c>
      <c r="U287">
        <v>300</v>
      </c>
      <c r="V287" t="s">
        <v>9</v>
      </c>
      <c r="W287" t="s">
        <v>15</v>
      </c>
      <c r="X287">
        <v>98055.6</v>
      </c>
      <c r="Y287">
        <v>975</v>
      </c>
      <c r="Z287">
        <v>175</v>
      </c>
      <c r="AA287">
        <v>9600</v>
      </c>
      <c r="AB287">
        <v>10.214124999999999</v>
      </c>
      <c r="AC287" t="s">
        <v>48</v>
      </c>
    </row>
    <row r="288" spans="1:29">
      <c r="A288">
        <v>323</v>
      </c>
      <c r="B288" t="s">
        <v>16</v>
      </c>
      <c r="C288" t="s">
        <v>10</v>
      </c>
      <c r="D288" t="s">
        <v>11</v>
      </c>
      <c r="E288">
        <v>115</v>
      </c>
      <c r="F288">
        <v>2021</v>
      </c>
      <c r="G288" t="s">
        <v>18</v>
      </c>
      <c r="H288">
        <v>29636.400000000001</v>
      </c>
      <c r="I288">
        <v>0</v>
      </c>
      <c r="J288">
        <v>151</v>
      </c>
      <c r="K288">
        <v>69</v>
      </c>
      <c r="L288" t="s">
        <v>40</v>
      </c>
      <c r="M288">
        <v>76</v>
      </c>
      <c r="N288" t="s">
        <v>9</v>
      </c>
      <c r="O288" t="s">
        <v>19</v>
      </c>
      <c r="P288" t="s">
        <v>11</v>
      </c>
      <c r="Q288">
        <v>165</v>
      </c>
      <c r="R288">
        <v>2018</v>
      </c>
      <c r="S288" t="s">
        <v>14</v>
      </c>
      <c r="T288">
        <v>92378</v>
      </c>
      <c r="U288">
        <v>151</v>
      </c>
      <c r="V288" t="s">
        <v>9</v>
      </c>
      <c r="W288" t="s">
        <v>17</v>
      </c>
      <c r="X288">
        <v>98223.84</v>
      </c>
      <c r="Y288">
        <v>875</v>
      </c>
      <c r="Z288">
        <v>325</v>
      </c>
      <c r="AA288">
        <v>6600</v>
      </c>
      <c r="AB288" s="1">
        <v>14.882400000000001</v>
      </c>
      <c r="AC288" t="s">
        <v>48</v>
      </c>
    </row>
    <row r="289" spans="1:29">
      <c r="A289">
        <v>29</v>
      </c>
      <c r="B289" t="s">
        <v>16</v>
      </c>
      <c r="C289" t="s">
        <v>17</v>
      </c>
      <c r="D289" t="s">
        <v>11</v>
      </c>
      <c r="E289">
        <v>220</v>
      </c>
      <c r="F289">
        <v>2017</v>
      </c>
      <c r="G289" t="s">
        <v>22</v>
      </c>
      <c r="H289">
        <v>29622</v>
      </c>
      <c r="I289">
        <v>0</v>
      </c>
      <c r="J289">
        <v>67</v>
      </c>
      <c r="K289">
        <v>492</v>
      </c>
      <c r="L289" t="s">
        <v>40</v>
      </c>
      <c r="M289">
        <v>83</v>
      </c>
      <c r="N289" t="s">
        <v>20</v>
      </c>
      <c r="O289" t="s">
        <v>15</v>
      </c>
      <c r="P289" t="s">
        <v>13</v>
      </c>
      <c r="Q289">
        <v>130</v>
      </c>
      <c r="R289">
        <v>2022</v>
      </c>
      <c r="S289" t="s">
        <v>12</v>
      </c>
      <c r="T289">
        <v>111505</v>
      </c>
      <c r="U289">
        <v>67</v>
      </c>
      <c r="V289" t="s">
        <v>20</v>
      </c>
      <c r="W289" t="s">
        <v>15</v>
      </c>
      <c r="X289">
        <v>98328.88</v>
      </c>
      <c r="Y289">
        <v>950</v>
      </c>
      <c r="Z289">
        <v>400</v>
      </c>
      <c r="AA289">
        <v>6600</v>
      </c>
      <c r="AB289" s="1">
        <v>14.898315151515099</v>
      </c>
      <c r="AC289" t="s">
        <v>48</v>
      </c>
    </row>
    <row r="290" spans="1:29">
      <c r="A290">
        <v>135</v>
      </c>
      <c r="B290" t="s">
        <v>16</v>
      </c>
      <c r="C290" t="s">
        <v>23</v>
      </c>
      <c r="D290" t="s">
        <v>11</v>
      </c>
      <c r="E290">
        <v>200</v>
      </c>
      <c r="F290">
        <v>2019</v>
      </c>
      <c r="G290" t="s">
        <v>18</v>
      </c>
      <c r="H290">
        <v>42961.32</v>
      </c>
      <c r="I290">
        <v>0</v>
      </c>
      <c r="J290">
        <v>384</v>
      </c>
      <c r="K290">
        <v>98</v>
      </c>
      <c r="L290" t="s">
        <v>41</v>
      </c>
      <c r="M290">
        <v>58</v>
      </c>
      <c r="N290" t="s">
        <v>16</v>
      </c>
      <c r="O290" t="s">
        <v>10</v>
      </c>
      <c r="P290" t="s">
        <v>11</v>
      </c>
      <c r="Q290">
        <v>95</v>
      </c>
      <c r="R290">
        <v>2018</v>
      </c>
      <c r="S290" t="s">
        <v>22</v>
      </c>
      <c r="T290">
        <v>37945.199999999997</v>
      </c>
      <c r="U290">
        <v>384</v>
      </c>
      <c r="V290" t="s">
        <v>9</v>
      </c>
      <c r="W290" t="s">
        <v>10</v>
      </c>
      <c r="X290">
        <v>98467.199999999997</v>
      </c>
      <c r="Y290">
        <v>875</v>
      </c>
      <c r="Z290">
        <v>300</v>
      </c>
      <c r="AA290">
        <v>6900</v>
      </c>
      <c r="AB290" s="1">
        <v>14.270608695652101</v>
      </c>
      <c r="AC290" t="s">
        <v>48</v>
      </c>
    </row>
    <row r="291" spans="1:29">
      <c r="A291">
        <v>369</v>
      </c>
      <c r="B291" t="s">
        <v>9</v>
      </c>
      <c r="C291" t="s">
        <v>15</v>
      </c>
      <c r="D291" t="s">
        <v>11</v>
      </c>
      <c r="E291">
        <v>200</v>
      </c>
      <c r="F291">
        <v>2021</v>
      </c>
      <c r="G291" t="s">
        <v>12</v>
      </c>
      <c r="H291">
        <v>126607.2</v>
      </c>
      <c r="I291">
        <v>0</v>
      </c>
      <c r="J291">
        <v>355</v>
      </c>
      <c r="K291">
        <v>140</v>
      </c>
      <c r="L291" t="s">
        <v>41</v>
      </c>
      <c r="M291">
        <v>61</v>
      </c>
      <c r="N291" t="s">
        <v>16</v>
      </c>
      <c r="O291" t="s">
        <v>10</v>
      </c>
      <c r="P291" t="s">
        <v>11</v>
      </c>
      <c r="Q291">
        <v>95</v>
      </c>
      <c r="R291">
        <v>2019</v>
      </c>
      <c r="S291" t="s">
        <v>22</v>
      </c>
      <c r="T291">
        <v>31352.68</v>
      </c>
      <c r="U291">
        <v>355</v>
      </c>
      <c r="V291" t="s">
        <v>9</v>
      </c>
      <c r="W291" t="s">
        <v>19</v>
      </c>
      <c r="X291">
        <v>98618.4</v>
      </c>
      <c r="Y291">
        <v>950</v>
      </c>
      <c r="Z291">
        <v>275</v>
      </c>
      <c r="AA291">
        <v>8100</v>
      </c>
      <c r="AB291" s="1">
        <v>12.1751111111111</v>
      </c>
      <c r="AC291" t="s">
        <v>48</v>
      </c>
    </row>
    <row r="292" spans="1:29">
      <c r="A292">
        <v>160</v>
      </c>
      <c r="B292" t="s">
        <v>16</v>
      </c>
      <c r="C292" t="s">
        <v>19</v>
      </c>
      <c r="D292" t="s">
        <v>11</v>
      </c>
      <c r="E292">
        <v>145</v>
      </c>
      <c r="F292">
        <v>2019</v>
      </c>
      <c r="G292" t="s">
        <v>22</v>
      </c>
      <c r="H292">
        <v>36601.4</v>
      </c>
      <c r="I292">
        <v>0</v>
      </c>
      <c r="J292">
        <v>184</v>
      </c>
      <c r="K292">
        <v>298</v>
      </c>
      <c r="L292" t="s">
        <v>40</v>
      </c>
      <c r="M292">
        <v>73</v>
      </c>
      <c r="N292" t="s">
        <v>9</v>
      </c>
      <c r="O292" t="s">
        <v>17</v>
      </c>
      <c r="P292" t="s">
        <v>13</v>
      </c>
      <c r="Q292">
        <v>155</v>
      </c>
      <c r="R292">
        <v>2021</v>
      </c>
      <c r="S292" t="s">
        <v>18</v>
      </c>
      <c r="T292">
        <v>111411.6</v>
      </c>
      <c r="U292">
        <v>184</v>
      </c>
      <c r="V292" t="s">
        <v>9</v>
      </c>
      <c r="W292" t="s">
        <v>10</v>
      </c>
      <c r="X292">
        <v>99127.8</v>
      </c>
      <c r="Y292">
        <v>875</v>
      </c>
      <c r="Z292">
        <v>225</v>
      </c>
      <c r="AA292">
        <v>7800</v>
      </c>
      <c r="AB292" s="1">
        <v>12.708692307692299</v>
      </c>
      <c r="AC292" t="s">
        <v>48</v>
      </c>
    </row>
    <row r="293" spans="1:29">
      <c r="A293">
        <v>312</v>
      </c>
      <c r="B293" t="s">
        <v>16</v>
      </c>
      <c r="C293" t="s">
        <v>19</v>
      </c>
      <c r="D293" t="s">
        <v>11</v>
      </c>
      <c r="E293">
        <v>175</v>
      </c>
      <c r="F293">
        <v>2021</v>
      </c>
      <c r="G293" t="s">
        <v>14</v>
      </c>
      <c r="H293">
        <v>37052.400000000001</v>
      </c>
      <c r="I293">
        <v>0</v>
      </c>
      <c r="J293">
        <v>295</v>
      </c>
      <c r="K293">
        <v>376</v>
      </c>
      <c r="L293" t="s">
        <v>40</v>
      </c>
      <c r="M293">
        <v>65</v>
      </c>
      <c r="N293" t="s">
        <v>16</v>
      </c>
      <c r="O293" t="s">
        <v>19</v>
      </c>
      <c r="P293" t="s">
        <v>13</v>
      </c>
      <c r="Q293">
        <v>200</v>
      </c>
      <c r="R293">
        <v>2021</v>
      </c>
      <c r="S293" t="s">
        <v>14</v>
      </c>
      <c r="T293">
        <v>35329.199999999997</v>
      </c>
      <c r="U293">
        <v>295</v>
      </c>
      <c r="V293" t="s">
        <v>9</v>
      </c>
      <c r="W293" t="s">
        <v>10</v>
      </c>
      <c r="X293">
        <v>99138</v>
      </c>
      <c r="Y293">
        <v>875</v>
      </c>
      <c r="Z293">
        <v>275</v>
      </c>
      <c r="AA293">
        <v>7200</v>
      </c>
      <c r="AB293" s="1">
        <v>13.769166666666599</v>
      </c>
      <c r="AC293" t="s">
        <v>48</v>
      </c>
    </row>
    <row r="294" spans="1:29">
      <c r="A294">
        <v>468</v>
      </c>
      <c r="B294" t="s">
        <v>16</v>
      </c>
      <c r="C294" t="s">
        <v>23</v>
      </c>
      <c r="D294" t="s">
        <v>13</v>
      </c>
      <c r="E294">
        <v>160</v>
      </c>
      <c r="F294">
        <v>2022</v>
      </c>
      <c r="G294" t="s">
        <v>18</v>
      </c>
      <c r="H294">
        <v>36393.75</v>
      </c>
      <c r="I294">
        <v>0</v>
      </c>
      <c r="J294">
        <v>58</v>
      </c>
      <c r="K294">
        <v>369</v>
      </c>
      <c r="L294" t="s">
        <v>40</v>
      </c>
      <c r="M294">
        <v>85</v>
      </c>
      <c r="N294" t="s">
        <v>9</v>
      </c>
      <c r="O294" t="s">
        <v>15</v>
      </c>
      <c r="P294" t="s">
        <v>11</v>
      </c>
      <c r="Q294">
        <v>200</v>
      </c>
      <c r="R294">
        <v>2021</v>
      </c>
      <c r="S294" t="s">
        <v>12</v>
      </c>
      <c r="T294">
        <v>126607.2</v>
      </c>
      <c r="U294">
        <v>58</v>
      </c>
      <c r="V294" t="s">
        <v>20</v>
      </c>
      <c r="W294" t="s">
        <v>17</v>
      </c>
      <c r="X294">
        <v>99344.53</v>
      </c>
      <c r="Y294">
        <v>950</v>
      </c>
      <c r="Z294">
        <v>375</v>
      </c>
      <c r="AA294">
        <v>6900</v>
      </c>
      <c r="AB294" s="1">
        <v>14.3977579710144</v>
      </c>
      <c r="AC294" t="s">
        <v>48</v>
      </c>
    </row>
    <row r="295" spans="1:29">
      <c r="A295">
        <v>106</v>
      </c>
      <c r="B295" t="s">
        <v>9</v>
      </c>
      <c r="C295" t="s">
        <v>15</v>
      </c>
      <c r="D295" t="s">
        <v>11</v>
      </c>
      <c r="E295">
        <v>160</v>
      </c>
      <c r="F295">
        <v>2018</v>
      </c>
      <c r="G295" t="s">
        <v>14</v>
      </c>
      <c r="H295">
        <v>106111.63</v>
      </c>
      <c r="I295">
        <v>0</v>
      </c>
      <c r="J295">
        <v>78</v>
      </c>
      <c r="K295">
        <v>204</v>
      </c>
      <c r="L295" t="s">
        <v>40</v>
      </c>
      <c r="M295">
        <v>82</v>
      </c>
      <c r="N295" t="s">
        <v>9</v>
      </c>
      <c r="O295" t="s">
        <v>10</v>
      </c>
      <c r="P295" t="s">
        <v>13</v>
      </c>
      <c r="Q295">
        <v>230</v>
      </c>
      <c r="R295">
        <v>2019</v>
      </c>
      <c r="S295" t="s">
        <v>22</v>
      </c>
      <c r="T295">
        <v>106868.14</v>
      </c>
      <c r="U295">
        <v>78</v>
      </c>
      <c r="V295" t="s">
        <v>9</v>
      </c>
      <c r="W295" t="s">
        <v>15</v>
      </c>
      <c r="X295">
        <v>99832.95</v>
      </c>
      <c r="Y295">
        <v>875</v>
      </c>
      <c r="Z295">
        <v>150</v>
      </c>
      <c r="AA295">
        <v>8700</v>
      </c>
      <c r="AB295" s="1">
        <v>11.4750517241379</v>
      </c>
      <c r="AC295" t="s">
        <v>48</v>
      </c>
    </row>
    <row r="296" spans="1:29">
      <c r="A296">
        <v>169</v>
      </c>
      <c r="B296" t="s">
        <v>16</v>
      </c>
      <c r="C296" t="s">
        <v>10</v>
      </c>
      <c r="D296" t="s">
        <v>13</v>
      </c>
      <c r="E296">
        <v>215</v>
      </c>
      <c r="F296">
        <v>2019</v>
      </c>
      <c r="G296" t="s">
        <v>22</v>
      </c>
      <c r="H296">
        <v>39719.160000000003</v>
      </c>
      <c r="I296">
        <v>0</v>
      </c>
      <c r="J296">
        <v>20</v>
      </c>
      <c r="K296">
        <v>425</v>
      </c>
      <c r="L296" t="s">
        <v>40</v>
      </c>
      <c r="M296">
        <v>90</v>
      </c>
      <c r="N296" t="s">
        <v>20</v>
      </c>
      <c r="O296" t="s">
        <v>15</v>
      </c>
      <c r="P296" t="s">
        <v>13</v>
      </c>
      <c r="Q296">
        <v>200</v>
      </c>
      <c r="R296">
        <v>2022</v>
      </c>
      <c r="S296" t="s">
        <v>14</v>
      </c>
      <c r="T296">
        <v>123644.52</v>
      </c>
      <c r="U296">
        <v>20</v>
      </c>
      <c r="V296" t="s">
        <v>9</v>
      </c>
      <c r="W296" t="s">
        <v>10</v>
      </c>
      <c r="X296">
        <v>99848</v>
      </c>
      <c r="Y296">
        <v>950</v>
      </c>
      <c r="Z296">
        <v>175</v>
      </c>
      <c r="AA296">
        <v>9300</v>
      </c>
      <c r="AB296" s="1">
        <v>10.7363440860215</v>
      </c>
      <c r="AC296" t="s">
        <v>48</v>
      </c>
    </row>
    <row r="297" spans="1:29">
      <c r="B297" t="s">
        <v>108</v>
      </c>
      <c r="C297" t="s">
        <v>108</v>
      </c>
      <c r="L297" t="s">
        <v>107</v>
      </c>
      <c r="U297">
        <v>450</v>
      </c>
      <c r="V297" t="s">
        <v>9</v>
      </c>
      <c r="W297" t="s">
        <v>23</v>
      </c>
      <c r="X297">
        <v>100376.61</v>
      </c>
      <c r="Y297">
        <v>875</v>
      </c>
      <c r="Z297">
        <v>300</v>
      </c>
      <c r="AA297">
        <v>6900</v>
      </c>
      <c r="AB297" s="1">
        <v>14.547334782608599</v>
      </c>
      <c r="AC297" t="s">
        <v>48</v>
      </c>
    </row>
    <row r="298" spans="1:29">
      <c r="A298">
        <v>70</v>
      </c>
      <c r="B298" t="s">
        <v>9</v>
      </c>
      <c r="C298" t="s">
        <v>19</v>
      </c>
      <c r="D298" t="s">
        <v>13</v>
      </c>
      <c r="E298">
        <v>170</v>
      </c>
      <c r="F298">
        <v>2018</v>
      </c>
      <c r="G298" t="s">
        <v>18</v>
      </c>
      <c r="H298">
        <v>90702.83</v>
      </c>
      <c r="I298">
        <v>0</v>
      </c>
      <c r="J298">
        <v>124</v>
      </c>
      <c r="K298">
        <v>174</v>
      </c>
      <c r="L298" t="s">
        <v>40</v>
      </c>
      <c r="M298">
        <v>79</v>
      </c>
      <c r="N298" t="s">
        <v>9</v>
      </c>
      <c r="O298" t="s">
        <v>10</v>
      </c>
      <c r="P298" t="s">
        <v>13</v>
      </c>
      <c r="Q298">
        <v>160</v>
      </c>
      <c r="R298">
        <v>2019</v>
      </c>
      <c r="S298" t="s">
        <v>22</v>
      </c>
      <c r="T298">
        <v>116846.28</v>
      </c>
      <c r="U298">
        <v>124</v>
      </c>
      <c r="V298" t="s">
        <v>9</v>
      </c>
      <c r="W298" t="s">
        <v>23</v>
      </c>
      <c r="X298">
        <v>100567.5</v>
      </c>
      <c r="Y298">
        <v>875</v>
      </c>
      <c r="Z298">
        <v>275</v>
      </c>
      <c r="AA298">
        <v>7200</v>
      </c>
      <c r="AB298" s="1">
        <v>13.967708333333301</v>
      </c>
      <c r="AC298" t="s">
        <v>48</v>
      </c>
    </row>
    <row r="299" spans="1:29">
      <c r="A299">
        <v>233</v>
      </c>
      <c r="B299" t="s">
        <v>20</v>
      </c>
      <c r="C299" t="s">
        <v>23</v>
      </c>
      <c r="D299" t="s">
        <v>11</v>
      </c>
      <c r="E299">
        <v>210</v>
      </c>
      <c r="F299">
        <v>2019</v>
      </c>
      <c r="G299" t="s">
        <v>12</v>
      </c>
      <c r="H299">
        <v>101233.18</v>
      </c>
      <c r="I299">
        <v>0</v>
      </c>
      <c r="J299">
        <v>242</v>
      </c>
      <c r="K299">
        <v>272</v>
      </c>
      <c r="L299" t="s">
        <v>40</v>
      </c>
      <c r="M299">
        <v>69</v>
      </c>
      <c r="N299" t="s">
        <v>16</v>
      </c>
      <c r="O299" t="s">
        <v>23</v>
      </c>
      <c r="P299" t="s">
        <v>11</v>
      </c>
      <c r="Q299">
        <v>165</v>
      </c>
      <c r="R299">
        <v>2020</v>
      </c>
      <c r="S299" t="s">
        <v>22</v>
      </c>
      <c r="T299">
        <v>39625</v>
      </c>
      <c r="U299">
        <v>242</v>
      </c>
      <c r="V299" t="s">
        <v>20</v>
      </c>
      <c r="W299" t="s">
        <v>15</v>
      </c>
      <c r="X299">
        <v>100640.64</v>
      </c>
      <c r="Y299">
        <v>975</v>
      </c>
      <c r="Z299">
        <v>350</v>
      </c>
      <c r="AA299">
        <v>7500</v>
      </c>
      <c r="AB299">
        <v>13.418752</v>
      </c>
      <c r="AC299" t="s">
        <v>48</v>
      </c>
    </row>
    <row r="300" spans="1:29">
      <c r="A300">
        <v>423</v>
      </c>
      <c r="B300" t="s">
        <v>9</v>
      </c>
      <c r="C300" t="s">
        <v>15</v>
      </c>
      <c r="D300" t="s">
        <v>11</v>
      </c>
      <c r="E300">
        <v>200</v>
      </c>
      <c r="F300">
        <v>2022</v>
      </c>
      <c r="G300" t="s">
        <v>22</v>
      </c>
      <c r="H300">
        <v>125300.1</v>
      </c>
      <c r="I300">
        <v>0</v>
      </c>
      <c r="J300">
        <v>211</v>
      </c>
      <c r="K300">
        <v>152</v>
      </c>
      <c r="L300" t="s">
        <v>40</v>
      </c>
      <c r="M300">
        <v>71</v>
      </c>
      <c r="N300" t="s">
        <v>9</v>
      </c>
      <c r="O300" t="s">
        <v>19</v>
      </c>
      <c r="P300" t="s">
        <v>11</v>
      </c>
      <c r="Q300">
        <v>90</v>
      </c>
      <c r="R300">
        <v>2019</v>
      </c>
      <c r="S300" t="s">
        <v>12</v>
      </c>
      <c r="T300">
        <v>102749.9</v>
      </c>
      <c r="U300">
        <v>211</v>
      </c>
      <c r="V300" t="s">
        <v>9</v>
      </c>
      <c r="W300" t="s">
        <v>19</v>
      </c>
      <c r="X300">
        <v>100977.72</v>
      </c>
      <c r="Y300">
        <v>825</v>
      </c>
      <c r="Z300">
        <v>425</v>
      </c>
      <c r="AA300">
        <v>4800</v>
      </c>
      <c r="AB300">
        <v>21.037025</v>
      </c>
      <c r="AC300" t="s">
        <v>48</v>
      </c>
    </row>
    <row r="301" spans="1:29">
      <c r="A301">
        <v>437</v>
      </c>
      <c r="B301" t="s">
        <v>16</v>
      </c>
      <c r="C301" t="s">
        <v>15</v>
      </c>
      <c r="D301" t="s">
        <v>11</v>
      </c>
      <c r="E301">
        <v>230</v>
      </c>
      <c r="F301">
        <v>2022</v>
      </c>
      <c r="G301" t="s">
        <v>14</v>
      </c>
      <c r="H301">
        <v>38195.19</v>
      </c>
      <c r="I301">
        <v>0</v>
      </c>
      <c r="J301">
        <v>114</v>
      </c>
      <c r="K301">
        <v>144</v>
      </c>
      <c r="L301" t="s">
        <v>40</v>
      </c>
      <c r="M301">
        <v>79</v>
      </c>
      <c r="N301" t="s">
        <v>9</v>
      </c>
      <c r="O301" t="s">
        <v>19</v>
      </c>
      <c r="P301" t="s">
        <v>11</v>
      </c>
      <c r="Q301">
        <v>185</v>
      </c>
      <c r="R301">
        <v>2019</v>
      </c>
      <c r="S301" t="s">
        <v>18</v>
      </c>
      <c r="T301">
        <v>96296.76</v>
      </c>
      <c r="U301">
        <v>114</v>
      </c>
      <c r="V301" t="s">
        <v>9</v>
      </c>
      <c r="W301" t="s">
        <v>23</v>
      </c>
      <c r="X301">
        <v>101104.8</v>
      </c>
      <c r="Y301">
        <v>975</v>
      </c>
      <c r="Z301">
        <v>350</v>
      </c>
      <c r="AA301">
        <v>7500</v>
      </c>
      <c r="AB301">
        <v>13.480639999999999</v>
      </c>
      <c r="AC301" t="s">
        <v>48</v>
      </c>
    </row>
    <row r="302" spans="1:29">
      <c r="A302">
        <v>152</v>
      </c>
      <c r="B302" t="s">
        <v>9</v>
      </c>
      <c r="C302" t="s">
        <v>19</v>
      </c>
      <c r="D302" t="s">
        <v>11</v>
      </c>
      <c r="E302">
        <v>90</v>
      </c>
      <c r="F302">
        <v>2019</v>
      </c>
      <c r="G302" t="s">
        <v>12</v>
      </c>
      <c r="H302">
        <v>102749.9</v>
      </c>
      <c r="I302">
        <v>0</v>
      </c>
      <c r="J302">
        <v>18</v>
      </c>
      <c r="K302">
        <v>345</v>
      </c>
      <c r="L302" t="s">
        <v>40</v>
      </c>
      <c r="M302">
        <v>90</v>
      </c>
      <c r="N302" t="s">
        <v>9</v>
      </c>
      <c r="O302" t="s">
        <v>10</v>
      </c>
      <c r="P302" t="s">
        <v>11</v>
      </c>
      <c r="Q302">
        <v>225</v>
      </c>
      <c r="R302">
        <v>2021</v>
      </c>
      <c r="S302" t="s">
        <v>22</v>
      </c>
      <c r="T302">
        <v>110974.8</v>
      </c>
      <c r="U302">
        <v>18</v>
      </c>
      <c r="V302" t="s">
        <v>20</v>
      </c>
      <c r="W302" t="s">
        <v>15</v>
      </c>
      <c r="X302">
        <v>101143</v>
      </c>
      <c r="Y302">
        <v>1050</v>
      </c>
      <c r="Z302">
        <v>700</v>
      </c>
      <c r="AA302">
        <v>4200</v>
      </c>
      <c r="AB302" s="1">
        <v>24.081666666666599</v>
      </c>
      <c r="AC302" t="s">
        <v>48</v>
      </c>
    </row>
    <row r="303" spans="1:29">
      <c r="A303">
        <v>145</v>
      </c>
      <c r="B303" t="s">
        <v>16</v>
      </c>
      <c r="C303" t="s">
        <v>15</v>
      </c>
      <c r="D303" t="s">
        <v>11</v>
      </c>
      <c r="E303">
        <v>210</v>
      </c>
      <c r="F303">
        <v>2019</v>
      </c>
      <c r="G303" t="s">
        <v>12</v>
      </c>
      <c r="H303">
        <v>28924.22</v>
      </c>
      <c r="I303">
        <v>0</v>
      </c>
      <c r="J303">
        <v>233</v>
      </c>
      <c r="K303">
        <v>494</v>
      </c>
      <c r="L303" t="s">
        <v>40</v>
      </c>
      <c r="M303">
        <v>70</v>
      </c>
      <c r="N303" t="s">
        <v>16</v>
      </c>
      <c r="O303" t="s">
        <v>17</v>
      </c>
      <c r="P303" t="s">
        <v>11</v>
      </c>
      <c r="Q303">
        <v>235</v>
      </c>
      <c r="R303">
        <v>2022</v>
      </c>
      <c r="S303" t="s">
        <v>22</v>
      </c>
      <c r="T303">
        <v>44408.75</v>
      </c>
      <c r="U303">
        <v>233</v>
      </c>
      <c r="V303" t="s">
        <v>20</v>
      </c>
      <c r="W303" t="s">
        <v>23</v>
      </c>
      <c r="X303">
        <v>101233.18</v>
      </c>
      <c r="Y303">
        <v>875</v>
      </c>
      <c r="Z303">
        <v>375</v>
      </c>
      <c r="AA303">
        <v>6000</v>
      </c>
      <c r="AB303" s="1">
        <v>16.8721966666666</v>
      </c>
      <c r="AC303" t="s">
        <v>48</v>
      </c>
    </row>
    <row r="304" spans="1:29">
      <c r="A304">
        <v>422</v>
      </c>
      <c r="B304" t="s">
        <v>9</v>
      </c>
      <c r="C304" t="s">
        <v>17</v>
      </c>
      <c r="D304" t="s">
        <v>13</v>
      </c>
      <c r="E304">
        <v>110</v>
      </c>
      <c r="F304">
        <v>2022</v>
      </c>
      <c r="G304" t="s">
        <v>22</v>
      </c>
      <c r="H304">
        <v>109419.57</v>
      </c>
      <c r="I304">
        <v>0</v>
      </c>
      <c r="J304">
        <v>53</v>
      </c>
      <c r="K304">
        <v>383</v>
      </c>
      <c r="L304" t="s">
        <v>40</v>
      </c>
      <c r="M304">
        <v>85</v>
      </c>
      <c r="N304" t="s">
        <v>9</v>
      </c>
      <c r="O304" t="s">
        <v>23</v>
      </c>
      <c r="P304" t="s">
        <v>13</v>
      </c>
      <c r="Q304">
        <v>245</v>
      </c>
      <c r="R304">
        <v>2021</v>
      </c>
      <c r="S304" t="s">
        <v>14</v>
      </c>
      <c r="T304">
        <v>117771.6</v>
      </c>
      <c r="U304">
        <v>53</v>
      </c>
      <c r="V304" t="s">
        <v>9</v>
      </c>
      <c r="W304" t="s">
        <v>23</v>
      </c>
      <c r="X304">
        <v>101242.05</v>
      </c>
      <c r="Y304">
        <v>950</v>
      </c>
      <c r="Z304">
        <v>150</v>
      </c>
      <c r="AA304">
        <v>9600</v>
      </c>
      <c r="AB304">
        <v>10.546046875</v>
      </c>
      <c r="AC304" t="s">
        <v>48</v>
      </c>
    </row>
    <row r="305" spans="1:29">
      <c r="A305">
        <v>356</v>
      </c>
      <c r="B305" t="s">
        <v>16</v>
      </c>
      <c r="C305" t="s">
        <v>23</v>
      </c>
      <c r="D305" t="s">
        <v>13</v>
      </c>
      <c r="E305">
        <v>240</v>
      </c>
      <c r="F305">
        <v>2021</v>
      </c>
      <c r="G305" t="s">
        <v>12</v>
      </c>
      <c r="H305">
        <v>38506.800000000003</v>
      </c>
      <c r="I305">
        <v>0</v>
      </c>
      <c r="J305">
        <v>102</v>
      </c>
      <c r="K305">
        <v>476</v>
      </c>
      <c r="L305" t="s">
        <v>40</v>
      </c>
      <c r="M305">
        <v>80</v>
      </c>
      <c r="N305" t="s">
        <v>9</v>
      </c>
      <c r="O305" t="s">
        <v>15</v>
      </c>
      <c r="P305" t="s">
        <v>13</v>
      </c>
      <c r="Q305">
        <v>205</v>
      </c>
      <c r="R305">
        <v>2022</v>
      </c>
      <c r="S305" t="s">
        <v>12</v>
      </c>
      <c r="T305">
        <v>129618.75</v>
      </c>
      <c r="U305">
        <v>102</v>
      </c>
      <c r="V305" t="s">
        <v>9</v>
      </c>
      <c r="W305" t="s">
        <v>17</v>
      </c>
      <c r="X305">
        <v>101430</v>
      </c>
      <c r="Y305">
        <v>975</v>
      </c>
      <c r="Z305">
        <v>150</v>
      </c>
      <c r="AA305">
        <v>9900</v>
      </c>
      <c r="AB305" s="1">
        <v>10.2454545454545</v>
      </c>
      <c r="AC305" t="s">
        <v>48</v>
      </c>
    </row>
    <row r="306" spans="1:29">
      <c r="B306" t="s">
        <v>108</v>
      </c>
      <c r="C306" t="s">
        <v>108</v>
      </c>
      <c r="L306" t="s">
        <v>107</v>
      </c>
      <c r="U306">
        <v>475</v>
      </c>
      <c r="V306" t="s">
        <v>9</v>
      </c>
      <c r="W306" t="s">
        <v>10</v>
      </c>
      <c r="X306">
        <v>101576.25</v>
      </c>
      <c r="Y306">
        <v>825</v>
      </c>
      <c r="Z306">
        <v>400</v>
      </c>
      <c r="AA306">
        <v>5100</v>
      </c>
      <c r="AB306" s="1">
        <v>19.916911764705802</v>
      </c>
      <c r="AC306" t="s">
        <v>48</v>
      </c>
    </row>
    <row r="307" spans="1:29">
      <c r="A307">
        <v>480</v>
      </c>
      <c r="B307" t="s">
        <v>16</v>
      </c>
      <c r="C307" t="s">
        <v>10</v>
      </c>
      <c r="D307" t="s">
        <v>11</v>
      </c>
      <c r="E307">
        <v>180</v>
      </c>
      <c r="F307">
        <v>2022</v>
      </c>
      <c r="G307" t="s">
        <v>18</v>
      </c>
      <c r="H307">
        <v>30970</v>
      </c>
      <c r="I307">
        <v>0</v>
      </c>
      <c r="J307">
        <v>166</v>
      </c>
      <c r="K307">
        <v>224</v>
      </c>
      <c r="L307" t="s">
        <v>40</v>
      </c>
      <c r="M307">
        <v>75</v>
      </c>
      <c r="N307" t="s">
        <v>9</v>
      </c>
      <c r="O307" t="s">
        <v>15</v>
      </c>
      <c r="P307" t="s">
        <v>11</v>
      </c>
      <c r="Q307">
        <v>135</v>
      </c>
      <c r="R307">
        <v>2019</v>
      </c>
      <c r="S307" t="s">
        <v>22</v>
      </c>
      <c r="T307">
        <v>95760.4</v>
      </c>
      <c r="U307">
        <v>166</v>
      </c>
      <c r="V307" t="s">
        <v>9</v>
      </c>
      <c r="W307" t="s">
        <v>19</v>
      </c>
      <c r="X307">
        <v>101584.8</v>
      </c>
      <c r="Y307">
        <v>950</v>
      </c>
      <c r="Z307">
        <v>275</v>
      </c>
      <c r="AA307">
        <v>8100</v>
      </c>
      <c r="AB307" s="1">
        <v>12.5413333333333</v>
      </c>
      <c r="AC307" t="s">
        <v>48</v>
      </c>
    </row>
    <row r="308" spans="1:29">
      <c r="A308">
        <v>341</v>
      </c>
      <c r="B308" t="s">
        <v>9</v>
      </c>
      <c r="C308" t="s">
        <v>15</v>
      </c>
      <c r="D308" t="s">
        <v>11</v>
      </c>
      <c r="E308">
        <v>190</v>
      </c>
      <c r="F308">
        <v>2021</v>
      </c>
      <c r="G308" t="s">
        <v>18</v>
      </c>
      <c r="H308">
        <v>120495.6</v>
      </c>
      <c r="I308">
        <v>0</v>
      </c>
      <c r="J308">
        <v>408</v>
      </c>
      <c r="K308">
        <v>149</v>
      </c>
      <c r="L308" t="s">
        <v>41</v>
      </c>
      <c r="M308">
        <v>56</v>
      </c>
      <c r="N308" t="s">
        <v>9</v>
      </c>
      <c r="O308" t="s">
        <v>23</v>
      </c>
      <c r="P308" t="s">
        <v>21</v>
      </c>
      <c r="Q308">
        <v>95</v>
      </c>
      <c r="R308">
        <v>2019</v>
      </c>
      <c r="S308" t="s">
        <v>14</v>
      </c>
      <c r="T308">
        <v>104741.64</v>
      </c>
      <c r="U308">
        <v>408</v>
      </c>
      <c r="V308" t="s">
        <v>9</v>
      </c>
      <c r="W308" t="s">
        <v>15</v>
      </c>
      <c r="X308">
        <v>101814.48</v>
      </c>
      <c r="Y308">
        <v>825</v>
      </c>
      <c r="Z308">
        <v>200</v>
      </c>
      <c r="AA308">
        <v>7500</v>
      </c>
      <c r="AB308">
        <v>13.575264000000001</v>
      </c>
      <c r="AC308" t="s">
        <v>48</v>
      </c>
    </row>
    <row r="309" spans="1:29">
      <c r="B309" t="s">
        <v>108</v>
      </c>
      <c r="C309" t="s">
        <v>108</v>
      </c>
      <c r="L309" t="s">
        <v>107</v>
      </c>
      <c r="U309">
        <v>446</v>
      </c>
      <c r="V309" t="s">
        <v>9</v>
      </c>
      <c r="W309" t="s">
        <v>19</v>
      </c>
      <c r="X309">
        <v>101815.71</v>
      </c>
      <c r="Y309">
        <v>950</v>
      </c>
      <c r="Z309">
        <v>300</v>
      </c>
      <c r="AA309">
        <v>7800</v>
      </c>
      <c r="AB309" s="1">
        <v>13.0532961538461</v>
      </c>
      <c r="AC309" t="s">
        <v>48</v>
      </c>
    </row>
    <row r="310" spans="1:29">
      <c r="A310">
        <v>129</v>
      </c>
      <c r="B310" t="s">
        <v>9</v>
      </c>
      <c r="C310" t="s">
        <v>23</v>
      </c>
      <c r="D310" t="s">
        <v>11</v>
      </c>
      <c r="E310">
        <v>205</v>
      </c>
      <c r="F310">
        <v>2019</v>
      </c>
      <c r="G310" t="s">
        <v>12</v>
      </c>
      <c r="H310">
        <v>85940.56</v>
      </c>
      <c r="I310">
        <v>0</v>
      </c>
      <c r="J310">
        <v>15</v>
      </c>
      <c r="K310">
        <v>139</v>
      </c>
      <c r="L310" t="s">
        <v>40</v>
      </c>
      <c r="M310">
        <v>90</v>
      </c>
      <c r="N310" t="s">
        <v>20</v>
      </c>
      <c r="O310" t="s">
        <v>23</v>
      </c>
      <c r="P310" t="s">
        <v>11</v>
      </c>
      <c r="Q310">
        <v>155</v>
      </c>
      <c r="R310">
        <v>2019</v>
      </c>
      <c r="S310" t="s">
        <v>22</v>
      </c>
      <c r="T310">
        <v>85658.6</v>
      </c>
      <c r="U310">
        <v>15</v>
      </c>
      <c r="V310" t="s">
        <v>9</v>
      </c>
      <c r="W310" t="s">
        <v>10</v>
      </c>
      <c r="X310">
        <v>102348</v>
      </c>
      <c r="Y310">
        <v>975</v>
      </c>
      <c r="Z310">
        <v>375</v>
      </c>
      <c r="AA310">
        <v>7200</v>
      </c>
      <c r="AB310">
        <v>14.215</v>
      </c>
      <c r="AC310" t="s">
        <v>48</v>
      </c>
    </row>
    <row r="311" spans="1:29">
      <c r="A311">
        <v>50</v>
      </c>
      <c r="B311" t="s">
        <v>9</v>
      </c>
      <c r="C311" t="s">
        <v>15</v>
      </c>
      <c r="D311" t="s">
        <v>11</v>
      </c>
      <c r="E311">
        <v>120</v>
      </c>
      <c r="F311">
        <v>2018</v>
      </c>
      <c r="G311" t="s">
        <v>14</v>
      </c>
      <c r="H311">
        <v>105296.1</v>
      </c>
      <c r="I311">
        <v>0</v>
      </c>
      <c r="J311">
        <v>122</v>
      </c>
      <c r="K311">
        <v>165</v>
      </c>
      <c r="L311" t="s">
        <v>40</v>
      </c>
      <c r="M311">
        <v>79</v>
      </c>
      <c r="N311" t="s">
        <v>9</v>
      </c>
      <c r="O311" t="s">
        <v>15</v>
      </c>
      <c r="P311" t="s">
        <v>11</v>
      </c>
      <c r="Q311">
        <v>160</v>
      </c>
      <c r="R311">
        <v>2019</v>
      </c>
      <c r="S311" t="s">
        <v>22</v>
      </c>
      <c r="T311">
        <v>112656.96000000001</v>
      </c>
      <c r="U311">
        <v>122</v>
      </c>
      <c r="V311" t="s">
        <v>9</v>
      </c>
      <c r="W311" t="s">
        <v>15</v>
      </c>
      <c r="X311">
        <v>102498</v>
      </c>
      <c r="Y311">
        <v>975</v>
      </c>
      <c r="Z311">
        <v>350</v>
      </c>
      <c r="AA311">
        <v>7500</v>
      </c>
      <c r="AB311">
        <v>13.666399999999999</v>
      </c>
      <c r="AC311" t="s">
        <v>48</v>
      </c>
    </row>
    <row r="312" spans="1:29">
      <c r="A312">
        <v>331</v>
      </c>
      <c r="B312" t="s">
        <v>16</v>
      </c>
      <c r="C312" t="s">
        <v>19</v>
      </c>
      <c r="D312" t="s">
        <v>11</v>
      </c>
      <c r="E312">
        <v>205</v>
      </c>
      <c r="F312">
        <v>2021</v>
      </c>
      <c r="G312" t="s">
        <v>22</v>
      </c>
      <c r="H312">
        <v>39892.800000000003</v>
      </c>
      <c r="I312">
        <v>0</v>
      </c>
      <c r="J312">
        <v>152</v>
      </c>
      <c r="K312">
        <v>72</v>
      </c>
      <c r="L312" t="s">
        <v>40</v>
      </c>
      <c r="M312">
        <v>76</v>
      </c>
      <c r="N312" t="s">
        <v>9</v>
      </c>
      <c r="O312" t="s">
        <v>17</v>
      </c>
      <c r="P312" t="s">
        <v>11</v>
      </c>
      <c r="Q312">
        <v>190</v>
      </c>
      <c r="R312">
        <v>2018</v>
      </c>
      <c r="S312" t="s">
        <v>14</v>
      </c>
      <c r="T312">
        <v>94441.36</v>
      </c>
      <c r="U312">
        <v>152</v>
      </c>
      <c r="V312" t="s">
        <v>9</v>
      </c>
      <c r="W312" t="s">
        <v>19</v>
      </c>
      <c r="X312">
        <v>102749.9</v>
      </c>
      <c r="Y312">
        <v>875</v>
      </c>
      <c r="Z312">
        <v>325</v>
      </c>
      <c r="AA312">
        <v>6600</v>
      </c>
      <c r="AB312" s="1">
        <v>15.568166666666601</v>
      </c>
      <c r="AC312" t="s">
        <v>48</v>
      </c>
    </row>
    <row r="313" spans="1:29">
      <c r="A313">
        <v>470</v>
      </c>
      <c r="B313" t="s">
        <v>16</v>
      </c>
      <c r="C313" t="s">
        <v>15</v>
      </c>
      <c r="D313" t="s">
        <v>13</v>
      </c>
      <c r="E313">
        <v>170</v>
      </c>
      <c r="F313">
        <v>2022</v>
      </c>
      <c r="G313" t="s">
        <v>12</v>
      </c>
      <c r="H313">
        <v>49023.75</v>
      </c>
      <c r="I313">
        <v>0</v>
      </c>
      <c r="J313">
        <v>264</v>
      </c>
      <c r="K313">
        <v>145</v>
      </c>
      <c r="L313" t="s">
        <v>40</v>
      </c>
      <c r="M313">
        <v>67</v>
      </c>
      <c r="N313" t="s">
        <v>16</v>
      </c>
      <c r="O313" t="s">
        <v>15</v>
      </c>
      <c r="P313" t="s">
        <v>11</v>
      </c>
      <c r="Q313">
        <v>210</v>
      </c>
      <c r="R313">
        <v>2019</v>
      </c>
      <c r="S313" t="s">
        <v>12</v>
      </c>
      <c r="T313">
        <v>28924.22</v>
      </c>
      <c r="U313">
        <v>264</v>
      </c>
      <c r="V313" t="s">
        <v>9</v>
      </c>
      <c r="W313" t="s">
        <v>17</v>
      </c>
      <c r="X313">
        <v>102783.75</v>
      </c>
      <c r="Y313">
        <v>975</v>
      </c>
      <c r="Z313">
        <v>200</v>
      </c>
      <c r="AA313">
        <v>9300</v>
      </c>
      <c r="AB313" s="1">
        <v>11.0520161290322</v>
      </c>
      <c r="AC313" t="s">
        <v>48</v>
      </c>
    </row>
    <row r="314" spans="1:29">
      <c r="A314">
        <v>133</v>
      </c>
      <c r="B314" t="s">
        <v>20</v>
      </c>
      <c r="C314" t="s">
        <v>19</v>
      </c>
      <c r="D314" t="s">
        <v>11</v>
      </c>
      <c r="E314">
        <v>215</v>
      </c>
      <c r="F314">
        <v>2019</v>
      </c>
      <c r="G314" t="s">
        <v>12</v>
      </c>
      <c r="H314">
        <v>107933.44</v>
      </c>
      <c r="I314">
        <v>0</v>
      </c>
      <c r="J314">
        <v>230</v>
      </c>
      <c r="K314">
        <v>490</v>
      </c>
      <c r="L314" t="s">
        <v>40</v>
      </c>
      <c r="M314">
        <v>70</v>
      </c>
      <c r="N314" t="s">
        <v>16</v>
      </c>
      <c r="O314" t="s">
        <v>17</v>
      </c>
      <c r="P314" t="s">
        <v>11</v>
      </c>
      <c r="Q314">
        <v>215</v>
      </c>
      <c r="R314">
        <v>2022</v>
      </c>
      <c r="S314" t="s">
        <v>18</v>
      </c>
      <c r="T314">
        <v>40152.5</v>
      </c>
      <c r="U314">
        <v>230</v>
      </c>
      <c r="V314" t="s">
        <v>9</v>
      </c>
      <c r="W314" t="s">
        <v>17</v>
      </c>
      <c r="X314">
        <v>102936.6</v>
      </c>
      <c r="Y314">
        <v>975</v>
      </c>
      <c r="AA314">
        <v>11700</v>
      </c>
      <c r="AB314">
        <v>8.798</v>
      </c>
      <c r="AC314" t="s">
        <v>47</v>
      </c>
    </row>
    <row r="315" spans="1:29">
      <c r="A315">
        <v>481</v>
      </c>
      <c r="B315" t="s">
        <v>16</v>
      </c>
      <c r="C315" t="s">
        <v>23</v>
      </c>
      <c r="D315" t="s">
        <v>11</v>
      </c>
      <c r="E315">
        <v>135</v>
      </c>
      <c r="F315">
        <v>2022</v>
      </c>
      <c r="G315" t="s">
        <v>14</v>
      </c>
      <c r="H315">
        <v>43270</v>
      </c>
      <c r="I315">
        <v>0</v>
      </c>
      <c r="J315">
        <v>320</v>
      </c>
      <c r="K315">
        <v>279</v>
      </c>
      <c r="L315" t="s">
        <v>41</v>
      </c>
      <c r="M315">
        <v>64</v>
      </c>
      <c r="N315" t="s">
        <v>16</v>
      </c>
      <c r="O315" t="s">
        <v>23</v>
      </c>
      <c r="P315" t="s">
        <v>11</v>
      </c>
      <c r="Q315">
        <v>115</v>
      </c>
      <c r="R315">
        <v>2021</v>
      </c>
      <c r="S315" t="s">
        <v>14</v>
      </c>
      <c r="T315">
        <v>45005.2</v>
      </c>
      <c r="U315">
        <v>320</v>
      </c>
      <c r="V315" t="s">
        <v>9</v>
      </c>
      <c r="W315" t="s">
        <v>10</v>
      </c>
      <c r="X315">
        <v>102979.2</v>
      </c>
      <c r="Y315">
        <v>950</v>
      </c>
      <c r="Z315">
        <v>400</v>
      </c>
      <c r="AA315">
        <v>6600</v>
      </c>
      <c r="AB315" s="1">
        <v>15.602909090909</v>
      </c>
      <c r="AC315" t="s">
        <v>48</v>
      </c>
    </row>
    <row r="316" spans="1:29">
      <c r="A316">
        <v>185</v>
      </c>
      <c r="B316" t="s">
        <v>16</v>
      </c>
      <c r="C316" t="s">
        <v>23</v>
      </c>
      <c r="D316" t="s">
        <v>11</v>
      </c>
      <c r="E316">
        <v>110</v>
      </c>
      <c r="F316">
        <v>2019</v>
      </c>
      <c r="G316" t="s">
        <v>18</v>
      </c>
      <c r="H316">
        <v>30366.880000000001</v>
      </c>
      <c r="I316">
        <v>0</v>
      </c>
      <c r="J316">
        <v>392</v>
      </c>
      <c r="K316">
        <v>234</v>
      </c>
      <c r="L316" t="s">
        <v>41</v>
      </c>
      <c r="M316">
        <v>56</v>
      </c>
      <c r="N316" t="s">
        <v>16</v>
      </c>
      <c r="O316" t="s">
        <v>10</v>
      </c>
      <c r="P316" t="s">
        <v>13</v>
      </c>
      <c r="Q316">
        <v>90</v>
      </c>
      <c r="R316">
        <v>2019</v>
      </c>
      <c r="S316" t="s">
        <v>22</v>
      </c>
      <c r="T316">
        <v>23569.7</v>
      </c>
      <c r="U316">
        <v>392</v>
      </c>
      <c r="V316" t="s">
        <v>9</v>
      </c>
      <c r="W316" t="s">
        <v>17</v>
      </c>
      <c r="X316">
        <v>103060.8</v>
      </c>
      <c r="Y316">
        <v>975</v>
      </c>
      <c r="Z316">
        <v>400</v>
      </c>
      <c r="AA316">
        <v>6900</v>
      </c>
      <c r="AB316" s="1">
        <v>14.9363478260869</v>
      </c>
      <c r="AC316" t="s">
        <v>48</v>
      </c>
    </row>
    <row r="317" spans="1:29">
      <c r="A317">
        <v>200</v>
      </c>
      <c r="B317" t="s">
        <v>9</v>
      </c>
      <c r="C317" t="s">
        <v>15</v>
      </c>
      <c r="D317" t="s">
        <v>11</v>
      </c>
      <c r="E317">
        <v>170</v>
      </c>
      <c r="F317">
        <v>2019</v>
      </c>
      <c r="G317" t="s">
        <v>12</v>
      </c>
      <c r="H317">
        <v>112470.6</v>
      </c>
      <c r="I317">
        <v>0</v>
      </c>
      <c r="J317">
        <v>86</v>
      </c>
      <c r="K317">
        <v>341</v>
      </c>
      <c r="L317" t="s">
        <v>40</v>
      </c>
      <c r="M317">
        <v>82</v>
      </c>
      <c r="N317" t="s">
        <v>9</v>
      </c>
      <c r="O317" t="s">
        <v>15</v>
      </c>
      <c r="P317" t="s">
        <v>11</v>
      </c>
      <c r="Q317">
        <v>190</v>
      </c>
      <c r="R317">
        <v>2021</v>
      </c>
      <c r="S317" t="s">
        <v>18</v>
      </c>
      <c r="T317">
        <v>120495.6</v>
      </c>
      <c r="U317">
        <v>86</v>
      </c>
      <c r="V317" t="s">
        <v>9</v>
      </c>
      <c r="W317" t="s">
        <v>17</v>
      </c>
      <c r="X317">
        <v>103158.64</v>
      </c>
      <c r="Y317">
        <v>875</v>
      </c>
      <c r="Z317">
        <v>400</v>
      </c>
      <c r="AA317">
        <v>5700</v>
      </c>
      <c r="AB317" s="1">
        <v>18.0980070175438</v>
      </c>
      <c r="AC317" t="s">
        <v>48</v>
      </c>
    </row>
    <row r="318" spans="1:29">
      <c r="A318">
        <v>406</v>
      </c>
      <c r="B318" t="s">
        <v>9</v>
      </c>
      <c r="C318" t="s">
        <v>19</v>
      </c>
      <c r="D318" t="s">
        <v>11</v>
      </c>
      <c r="E318">
        <v>195</v>
      </c>
      <c r="F318">
        <v>2022</v>
      </c>
      <c r="G318" t="s">
        <v>14</v>
      </c>
      <c r="H318">
        <v>124720.77</v>
      </c>
      <c r="I318">
        <v>0</v>
      </c>
      <c r="J318">
        <v>415</v>
      </c>
      <c r="K318">
        <v>95</v>
      </c>
      <c r="L318" t="s">
        <v>41</v>
      </c>
      <c r="M318">
        <v>54</v>
      </c>
      <c r="N318" t="s">
        <v>16</v>
      </c>
      <c r="O318" t="s">
        <v>17</v>
      </c>
      <c r="P318" t="s">
        <v>24</v>
      </c>
      <c r="Q318">
        <v>175</v>
      </c>
      <c r="R318">
        <v>2018</v>
      </c>
      <c r="S318" t="s">
        <v>22</v>
      </c>
      <c r="T318" s="1">
        <v>31161.62</v>
      </c>
      <c r="U318">
        <v>415</v>
      </c>
      <c r="V318" t="s">
        <v>9</v>
      </c>
      <c r="W318" t="s">
        <v>17</v>
      </c>
      <c r="X318">
        <v>103264.65</v>
      </c>
      <c r="Y318">
        <v>875</v>
      </c>
      <c r="Z318">
        <v>450</v>
      </c>
      <c r="AA318">
        <v>5100</v>
      </c>
      <c r="AB318" s="1">
        <v>20.247970588235201</v>
      </c>
      <c r="AC318" t="s">
        <v>48</v>
      </c>
    </row>
    <row r="319" spans="1:29">
      <c r="A319">
        <v>1</v>
      </c>
      <c r="B319" t="s">
        <v>9</v>
      </c>
      <c r="C319" t="s">
        <v>15</v>
      </c>
      <c r="D319" t="s">
        <v>11</v>
      </c>
      <c r="E319">
        <v>180</v>
      </c>
      <c r="F319">
        <v>2017</v>
      </c>
      <c r="G319" t="s">
        <v>14</v>
      </c>
      <c r="H319">
        <v>45713</v>
      </c>
      <c r="I319">
        <v>0</v>
      </c>
      <c r="J319">
        <v>327</v>
      </c>
      <c r="K319">
        <v>382</v>
      </c>
      <c r="L319" t="s">
        <v>41</v>
      </c>
      <c r="M319">
        <v>63</v>
      </c>
      <c r="N319" t="s">
        <v>16</v>
      </c>
      <c r="O319" t="s">
        <v>17</v>
      </c>
      <c r="P319" t="s">
        <v>11</v>
      </c>
      <c r="Q319">
        <v>140</v>
      </c>
      <c r="R319">
        <v>2021</v>
      </c>
      <c r="S319" t="s">
        <v>12</v>
      </c>
      <c r="T319">
        <v>37566</v>
      </c>
      <c r="U319">
        <v>327</v>
      </c>
      <c r="V319" t="s">
        <v>9</v>
      </c>
      <c r="W319" t="s">
        <v>15</v>
      </c>
      <c r="X319">
        <v>103276.8</v>
      </c>
      <c r="Y319">
        <v>975</v>
      </c>
      <c r="Z319">
        <v>450</v>
      </c>
      <c r="AA319">
        <v>6300</v>
      </c>
      <c r="AB319" s="1">
        <v>16.393142857142799</v>
      </c>
      <c r="AC319" t="s">
        <v>48</v>
      </c>
    </row>
    <row r="320" spans="1:29">
      <c r="A320">
        <v>155</v>
      </c>
      <c r="B320" t="s">
        <v>9</v>
      </c>
      <c r="C320" t="s">
        <v>10</v>
      </c>
      <c r="D320" t="s">
        <v>13</v>
      </c>
      <c r="E320">
        <v>125</v>
      </c>
      <c r="F320">
        <v>2019</v>
      </c>
      <c r="G320" t="s">
        <v>22</v>
      </c>
      <c r="H320">
        <v>103926.64</v>
      </c>
      <c r="I320">
        <v>0</v>
      </c>
      <c r="J320">
        <v>134</v>
      </c>
      <c r="K320">
        <v>334</v>
      </c>
      <c r="L320" t="s">
        <v>40</v>
      </c>
      <c r="M320">
        <v>78</v>
      </c>
      <c r="N320" t="s">
        <v>9</v>
      </c>
      <c r="O320" t="s">
        <v>19</v>
      </c>
      <c r="P320" t="s">
        <v>11</v>
      </c>
      <c r="Q320">
        <v>150</v>
      </c>
      <c r="R320">
        <v>2021</v>
      </c>
      <c r="S320" t="s">
        <v>12</v>
      </c>
      <c r="T320">
        <v>112645.2</v>
      </c>
      <c r="U320">
        <v>134</v>
      </c>
      <c r="V320" t="s">
        <v>9</v>
      </c>
      <c r="W320" t="s">
        <v>10</v>
      </c>
      <c r="X320">
        <v>103370.04</v>
      </c>
      <c r="Y320">
        <v>825</v>
      </c>
      <c r="Z320">
        <v>325</v>
      </c>
      <c r="AA320">
        <v>6000</v>
      </c>
      <c r="AB320" s="1">
        <v>17.228339999999999</v>
      </c>
      <c r="AC320" t="s">
        <v>48</v>
      </c>
    </row>
    <row r="321" spans="1:29">
      <c r="A321">
        <v>473</v>
      </c>
      <c r="B321" t="s">
        <v>16</v>
      </c>
      <c r="C321" t="s">
        <v>17</v>
      </c>
      <c r="D321" t="s">
        <v>13</v>
      </c>
      <c r="E321">
        <v>230</v>
      </c>
      <c r="F321">
        <v>2022</v>
      </c>
      <c r="G321" t="s">
        <v>18</v>
      </c>
      <c r="H321">
        <v>32447.5</v>
      </c>
      <c r="I321">
        <v>0</v>
      </c>
      <c r="J321">
        <v>215</v>
      </c>
      <c r="K321">
        <v>168</v>
      </c>
      <c r="L321" t="s">
        <v>40</v>
      </c>
      <c r="M321">
        <v>71</v>
      </c>
      <c r="N321" t="s">
        <v>9</v>
      </c>
      <c r="O321" t="s">
        <v>19</v>
      </c>
      <c r="P321" t="s">
        <v>11</v>
      </c>
      <c r="Q321">
        <v>90</v>
      </c>
      <c r="R321">
        <v>2019</v>
      </c>
      <c r="S321" t="s">
        <v>22</v>
      </c>
      <c r="T321">
        <v>113217.54</v>
      </c>
      <c r="U321">
        <v>215</v>
      </c>
      <c r="V321" t="s">
        <v>9</v>
      </c>
      <c r="W321" t="s">
        <v>10</v>
      </c>
      <c r="X321">
        <v>103862.52</v>
      </c>
      <c r="Y321">
        <v>950</v>
      </c>
      <c r="Z321">
        <v>275</v>
      </c>
      <c r="AA321">
        <v>8100</v>
      </c>
      <c r="AB321" s="1">
        <v>12.8225333333333</v>
      </c>
      <c r="AC321" t="s">
        <v>48</v>
      </c>
    </row>
    <row r="322" spans="1:29">
      <c r="A322">
        <v>355</v>
      </c>
      <c r="B322" t="s">
        <v>9</v>
      </c>
      <c r="C322" t="s">
        <v>19</v>
      </c>
      <c r="D322" t="s">
        <v>13</v>
      </c>
      <c r="E322">
        <v>195</v>
      </c>
      <c r="F322">
        <v>2021</v>
      </c>
      <c r="G322" t="s">
        <v>14</v>
      </c>
      <c r="H322">
        <v>98618.4</v>
      </c>
      <c r="I322">
        <v>0</v>
      </c>
      <c r="J322">
        <v>155</v>
      </c>
      <c r="K322">
        <v>21</v>
      </c>
      <c r="L322" t="s">
        <v>40</v>
      </c>
      <c r="M322">
        <v>76</v>
      </c>
      <c r="N322" t="s">
        <v>9</v>
      </c>
      <c r="O322" t="s">
        <v>19</v>
      </c>
      <c r="P322" t="s">
        <v>11</v>
      </c>
      <c r="Q322">
        <v>175</v>
      </c>
      <c r="R322">
        <v>2017</v>
      </c>
      <c r="S322" t="s">
        <v>12</v>
      </c>
      <c r="T322">
        <v>104788</v>
      </c>
      <c r="U322">
        <v>155</v>
      </c>
      <c r="V322" t="s">
        <v>9</v>
      </c>
      <c r="W322" t="s">
        <v>10</v>
      </c>
      <c r="X322">
        <v>103926.64</v>
      </c>
      <c r="Y322">
        <v>975</v>
      </c>
      <c r="Z322">
        <v>325</v>
      </c>
      <c r="AA322">
        <v>7800</v>
      </c>
      <c r="AB322" s="1">
        <v>13.323928205128199</v>
      </c>
      <c r="AC322" t="s">
        <v>48</v>
      </c>
    </row>
    <row r="323" spans="1:29">
      <c r="A323">
        <v>238</v>
      </c>
      <c r="B323" t="s">
        <v>9</v>
      </c>
      <c r="C323" t="s">
        <v>19</v>
      </c>
      <c r="D323" t="s">
        <v>11</v>
      </c>
      <c r="E323">
        <v>170</v>
      </c>
      <c r="F323">
        <v>2019</v>
      </c>
      <c r="G323" t="s">
        <v>14</v>
      </c>
      <c r="H323">
        <v>91218.96</v>
      </c>
      <c r="I323">
        <v>0</v>
      </c>
      <c r="J323">
        <v>142</v>
      </c>
      <c r="K323">
        <v>35</v>
      </c>
      <c r="L323" t="s">
        <v>40</v>
      </c>
      <c r="M323">
        <v>77</v>
      </c>
      <c r="N323" t="s">
        <v>9</v>
      </c>
      <c r="O323" t="s">
        <v>23</v>
      </c>
      <c r="P323" t="s">
        <v>11</v>
      </c>
      <c r="Q323">
        <v>145</v>
      </c>
      <c r="R323">
        <v>2017</v>
      </c>
      <c r="S323" t="s">
        <v>22</v>
      </c>
      <c r="T323">
        <v>90675</v>
      </c>
      <c r="U323">
        <v>142</v>
      </c>
      <c r="V323" t="s">
        <v>9</v>
      </c>
      <c r="W323" t="s">
        <v>19</v>
      </c>
      <c r="X323">
        <v>104130.16</v>
      </c>
      <c r="Y323">
        <v>950</v>
      </c>
      <c r="Z323">
        <v>325</v>
      </c>
      <c r="AA323">
        <v>7500</v>
      </c>
      <c r="AB323" s="1">
        <v>13.884021333333299</v>
      </c>
      <c r="AC323" t="s">
        <v>48</v>
      </c>
    </row>
    <row r="324" spans="1:29">
      <c r="A324">
        <v>490</v>
      </c>
      <c r="B324" t="s">
        <v>16</v>
      </c>
      <c r="C324" t="s">
        <v>17</v>
      </c>
      <c r="D324" t="s">
        <v>11</v>
      </c>
      <c r="E324">
        <v>215</v>
      </c>
      <c r="F324">
        <v>2022</v>
      </c>
      <c r="G324" t="s">
        <v>18</v>
      </c>
      <c r="H324">
        <v>40152.5</v>
      </c>
      <c r="I324">
        <v>0</v>
      </c>
      <c r="J324">
        <v>324</v>
      </c>
      <c r="K324">
        <v>377</v>
      </c>
      <c r="L324" t="s">
        <v>41</v>
      </c>
      <c r="M324">
        <v>63</v>
      </c>
      <c r="N324" t="s">
        <v>16</v>
      </c>
      <c r="O324" t="s">
        <v>17</v>
      </c>
      <c r="P324" t="s">
        <v>11</v>
      </c>
      <c r="Q324">
        <v>155</v>
      </c>
      <c r="R324">
        <v>2021</v>
      </c>
      <c r="S324" t="s">
        <v>22</v>
      </c>
      <c r="T324">
        <v>33474</v>
      </c>
      <c r="U324">
        <v>324</v>
      </c>
      <c r="V324" t="s">
        <v>9</v>
      </c>
      <c r="W324" t="s">
        <v>23</v>
      </c>
      <c r="X324">
        <v>104199.6</v>
      </c>
      <c r="Y324">
        <v>875</v>
      </c>
      <c r="Z324">
        <v>250</v>
      </c>
      <c r="AA324">
        <v>7500</v>
      </c>
      <c r="AB324">
        <v>13.893280000000001</v>
      </c>
      <c r="AC324" t="s">
        <v>48</v>
      </c>
    </row>
    <row r="325" spans="1:29">
      <c r="B325" t="s">
        <v>108</v>
      </c>
      <c r="C325" t="s">
        <v>108</v>
      </c>
      <c r="L325" t="s">
        <v>107</v>
      </c>
      <c r="U325">
        <v>434</v>
      </c>
      <c r="V325" t="s">
        <v>9</v>
      </c>
      <c r="W325" t="s">
        <v>15</v>
      </c>
      <c r="X325">
        <v>104253.57</v>
      </c>
      <c r="Y325">
        <v>950</v>
      </c>
      <c r="Z325">
        <v>375</v>
      </c>
      <c r="AA325">
        <v>6900</v>
      </c>
      <c r="AB325" s="1">
        <v>15.109213043478199</v>
      </c>
      <c r="AC325" t="s">
        <v>48</v>
      </c>
    </row>
    <row r="326" spans="1:29">
      <c r="A326">
        <v>280</v>
      </c>
      <c r="B326" t="s">
        <v>9</v>
      </c>
      <c r="C326" t="s">
        <v>23</v>
      </c>
      <c r="D326" t="s">
        <v>11</v>
      </c>
      <c r="E326">
        <v>150</v>
      </c>
      <c r="F326">
        <v>2021</v>
      </c>
      <c r="G326" t="s">
        <v>14</v>
      </c>
      <c r="H326">
        <v>94686.74</v>
      </c>
      <c r="I326">
        <v>0</v>
      </c>
      <c r="J326">
        <v>347</v>
      </c>
      <c r="K326">
        <v>289</v>
      </c>
      <c r="L326" t="s">
        <v>41</v>
      </c>
      <c r="M326">
        <v>62</v>
      </c>
      <c r="N326" t="s">
        <v>16</v>
      </c>
      <c r="O326" t="s">
        <v>17</v>
      </c>
      <c r="P326" t="s">
        <v>13</v>
      </c>
      <c r="Q326">
        <v>175</v>
      </c>
      <c r="R326">
        <v>2021</v>
      </c>
      <c r="S326" t="s">
        <v>12</v>
      </c>
      <c r="T326">
        <v>41454</v>
      </c>
      <c r="U326">
        <v>347</v>
      </c>
      <c r="V326" t="s">
        <v>9</v>
      </c>
      <c r="W326" t="s">
        <v>19</v>
      </c>
      <c r="X326">
        <v>104378.4</v>
      </c>
      <c r="Y326">
        <v>825</v>
      </c>
      <c r="Z326">
        <v>225</v>
      </c>
      <c r="AA326">
        <v>7200</v>
      </c>
      <c r="AB326">
        <v>14.497</v>
      </c>
      <c r="AC326" t="s">
        <v>48</v>
      </c>
    </row>
    <row r="327" spans="1:29">
      <c r="A327">
        <v>256</v>
      </c>
      <c r="B327" t="s">
        <v>16</v>
      </c>
      <c r="C327" t="s">
        <v>17</v>
      </c>
      <c r="D327" t="s">
        <v>11</v>
      </c>
      <c r="E327">
        <v>115</v>
      </c>
      <c r="F327">
        <v>2020</v>
      </c>
      <c r="G327" t="s">
        <v>12</v>
      </c>
      <c r="H327">
        <v>30325</v>
      </c>
      <c r="I327">
        <v>0</v>
      </c>
      <c r="J327">
        <v>403</v>
      </c>
      <c r="K327">
        <v>353</v>
      </c>
      <c r="L327" t="s">
        <v>41</v>
      </c>
      <c r="M327">
        <v>56</v>
      </c>
      <c r="N327" t="s">
        <v>16</v>
      </c>
      <c r="O327" t="s">
        <v>19</v>
      </c>
      <c r="P327" t="s">
        <v>24</v>
      </c>
      <c r="Q327">
        <v>140</v>
      </c>
      <c r="R327">
        <v>2021</v>
      </c>
      <c r="S327" t="s">
        <v>14</v>
      </c>
      <c r="T327">
        <v>38110.800000000003</v>
      </c>
      <c r="U327">
        <v>403</v>
      </c>
      <c r="V327" t="s">
        <v>20</v>
      </c>
      <c r="W327" t="s">
        <v>10</v>
      </c>
      <c r="X327">
        <v>104416.8</v>
      </c>
      <c r="Y327">
        <v>950</v>
      </c>
      <c r="Z327">
        <v>375</v>
      </c>
      <c r="AA327">
        <v>6900</v>
      </c>
      <c r="AB327" s="1">
        <v>15.1328695652173</v>
      </c>
      <c r="AC327" t="s">
        <v>48</v>
      </c>
    </row>
    <row r="328" spans="1:29">
      <c r="A328">
        <v>239</v>
      </c>
      <c r="B328" t="s">
        <v>20</v>
      </c>
      <c r="C328" t="s">
        <v>15</v>
      </c>
      <c r="D328" t="s">
        <v>11</v>
      </c>
      <c r="E328">
        <v>110</v>
      </c>
      <c r="F328">
        <v>2019</v>
      </c>
      <c r="G328" t="s">
        <v>18</v>
      </c>
      <c r="H328">
        <v>90693</v>
      </c>
      <c r="I328">
        <v>0</v>
      </c>
      <c r="J328">
        <v>400</v>
      </c>
      <c r="K328">
        <v>191</v>
      </c>
      <c r="L328" t="s">
        <v>41</v>
      </c>
      <c r="M328">
        <v>56</v>
      </c>
      <c r="N328" t="s">
        <v>16</v>
      </c>
      <c r="O328" t="s">
        <v>17</v>
      </c>
      <c r="P328" t="s">
        <v>11</v>
      </c>
      <c r="Q328">
        <v>110</v>
      </c>
      <c r="R328">
        <v>2019</v>
      </c>
      <c r="S328" t="s">
        <v>22</v>
      </c>
      <c r="T328">
        <v>37345.32</v>
      </c>
      <c r="U328">
        <v>400</v>
      </c>
      <c r="V328" t="s">
        <v>9</v>
      </c>
      <c r="W328" t="s">
        <v>17</v>
      </c>
      <c r="X328">
        <v>104485.2</v>
      </c>
      <c r="Y328">
        <v>950</v>
      </c>
      <c r="Z328">
        <v>300</v>
      </c>
      <c r="AA328">
        <v>7800</v>
      </c>
      <c r="AB328" s="1">
        <v>13.395538461538401</v>
      </c>
      <c r="AC328" t="s">
        <v>48</v>
      </c>
    </row>
    <row r="329" spans="1:29">
      <c r="A329">
        <v>213</v>
      </c>
      <c r="B329" t="s">
        <v>16</v>
      </c>
      <c r="C329" t="s">
        <v>19</v>
      </c>
      <c r="D329" t="s">
        <v>11</v>
      </c>
      <c r="E329">
        <v>190</v>
      </c>
      <c r="F329">
        <v>2019</v>
      </c>
      <c r="G329" t="s">
        <v>22</v>
      </c>
      <c r="H329">
        <v>25100.9</v>
      </c>
      <c r="I329">
        <v>0</v>
      </c>
      <c r="J329">
        <v>284</v>
      </c>
      <c r="K329">
        <v>31</v>
      </c>
      <c r="L329" t="s">
        <v>40</v>
      </c>
      <c r="M329">
        <v>67</v>
      </c>
      <c r="N329" t="s">
        <v>9</v>
      </c>
      <c r="O329" t="s">
        <v>15</v>
      </c>
      <c r="P329" t="s">
        <v>13</v>
      </c>
      <c r="Q329">
        <v>145</v>
      </c>
      <c r="R329">
        <v>2017</v>
      </c>
      <c r="S329" t="s">
        <v>12</v>
      </c>
      <c r="T329">
        <v>88961</v>
      </c>
      <c r="U329">
        <v>284</v>
      </c>
      <c r="V329" t="s">
        <v>9</v>
      </c>
      <c r="W329" t="s">
        <v>19</v>
      </c>
      <c r="X329">
        <v>104505.52</v>
      </c>
      <c r="Y329">
        <v>950</v>
      </c>
      <c r="Z329">
        <v>325</v>
      </c>
      <c r="AA329">
        <v>7500</v>
      </c>
      <c r="AB329" s="1">
        <v>13.9340693333333</v>
      </c>
      <c r="AC329" t="s">
        <v>48</v>
      </c>
    </row>
    <row r="330" spans="1:29">
      <c r="A330">
        <v>114</v>
      </c>
      <c r="B330" t="s">
        <v>9</v>
      </c>
      <c r="C330" t="s">
        <v>23</v>
      </c>
      <c r="D330" t="s">
        <v>13</v>
      </c>
      <c r="E330">
        <v>185</v>
      </c>
      <c r="F330">
        <v>2018</v>
      </c>
      <c r="G330" t="s">
        <v>22</v>
      </c>
      <c r="H330">
        <v>101104.8</v>
      </c>
      <c r="I330">
        <v>0</v>
      </c>
      <c r="J330">
        <v>379</v>
      </c>
      <c r="K330">
        <v>317</v>
      </c>
      <c r="L330" t="s">
        <v>41</v>
      </c>
      <c r="M330">
        <v>58</v>
      </c>
      <c r="N330" t="s">
        <v>16</v>
      </c>
      <c r="O330" t="s">
        <v>17</v>
      </c>
      <c r="P330" t="s">
        <v>13</v>
      </c>
      <c r="Q330">
        <v>135</v>
      </c>
      <c r="R330">
        <v>2021</v>
      </c>
      <c r="S330" t="s">
        <v>12</v>
      </c>
      <c r="T330">
        <v>27866.400000000001</v>
      </c>
      <c r="U330">
        <v>379</v>
      </c>
      <c r="V330" t="s">
        <v>9</v>
      </c>
      <c r="W330" t="s">
        <v>15</v>
      </c>
      <c r="X330">
        <v>104562</v>
      </c>
      <c r="Y330">
        <v>950</v>
      </c>
      <c r="Z330">
        <v>275</v>
      </c>
      <c r="AA330">
        <v>8100</v>
      </c>
      <c r="AB330" s="1">
        <v>12.9088888888888</v>
      </c>
      <c r="AC330" t="s">
        <v>48</v>
      </c>
    </row>
    <row r="331" spans="1:29">
      <c r="A331">
        <v>93</v>
      </c>
      <c r="B331" t="s">
        <v>9</v>
      </c>
      <c r="C331" t="s">
        <v>17</v>
      </c>
      <c r="D331" t="s">
        <v>13</v>
      </c>
      <c r="E331">
        <v>225</v>
      </c>
      <c r="F331">
        <v>2018</v>
      </c>
      <c r="G331" t="s">
        <v>14</v>
      </c>
      <c r="H331">
        <v>109950.88</v>
      </c>
      <c r="I331">
        <v>0</v>
      </c>
      <c r="J331">
        <v>274</v>
      </c>
      <c r="K331">
        <v>354</v>
      </c>
      <c r="L331" t="s">
        <v>40</v>
      </c>
      <c r="M331">
        <v>67</v>
      </c>
      <c r="N331" t="s">
        <v>16</v>
      </c>
      <c r="O331" t="s">
        <v>17</v>
      </c>
      <c r="P331" t="s">
        <v>11</v>
      </c>
      <c r="Q331">
        <v>190</v>
      </c>
      <c r="R331">
        <v>2021</v>
      </c>
      <c r="S331" t="s">
        <v>22</v>
      </c>
      <c r="T331">
        <v>37770</v>
      </c>
      <c r="U331">
        <v>274</v>
      </c>
      <c r="V331" t="s">
        <v>9</v>
      </c>
      <c r="W331" t="s">
        <v>10</v>
      </c>
      <c r="X331">
        <v>104562.5</v>
      </c>
      <c r="Y331">
        <v>975</v>
      </c>
      <c r="Z331">
        <v>350</v>
      </c>
      <c r="AA331">
        <v>7500</v>
      </c>
      <c r="AB331" s="1">
        <v>13.941666666666601</v>
      </c>
      <c r="AC331" t="s">
        <v>48</v>
      </c>
    </row>
    <row r="332" spans="1:29">
      <c r="A332">
        <v>40</v>
      </c>
      <c r="B332" t="s">
        <v>9</v>
      </c>
      <c r="C332" t="s">
        <v>15</v>
      </c>
      <c r="D332" t="s">
        <v>11</v>
      </c>
      <c r="E332">
        <v>210</v>
      </c>
      <c r="F332">
        <v>2018</v>
      </c>
      <c r="G332" t="s">
        <v>12</v>
      </c>
      <c r="H332">
        <v>85397.52</v>
      </c>
      <c r="I332">
        <v>0</v>
      </c>
      <c r="J332">
        <v>3</v>
      </c>
      <c r="K332">
        <v>403</v>
      </c>
      <c r="L332" t="s">
        <v>40</v>
      </c>
      <c r="M332">
        <v>97</v>
      </c>
      <c r="N332" t="s">
        <v>20</v>
      </c>
      <c r="O332" t="s">
        <v>10</v>
      </c>
      <c r="P332" t="s">
        <v>11</v>
      </c>
      <c r="Q332">
        <v>175</v>
      </c>
      <c r="R332">
        <v>2021</v>
      </c>
      <c r="S332" t="s">
        <v>14</v>
      </c>
      <c r="T332">
        <v>104416.8</v>
      </c>
      <c r="U332">
        <v>3</v>
      </c>
      <c r="V332" t="s">
        <v>9</v>
      </c>
      <c r="W332" t="s">
        <v>15</v>
      </c>
      <c r="X332">
        <v>104673</v>
      </c>
      <c r="Y332">
        <v>950</v>
      </c>
      <c r="Z332">
        <v>275</v>
      </c>
      <c r="AA332">
        <v>8100</v>
      </c>
      <c r="AB332" s="1">
        <v>12.922592592592499</v>
      </c>
      <c r="AC332" t="s">
        <v>48</v>
      </c>
    </row>
    <row r="333" spans="1:29">
      <c r="A333">
        <v>393</v>
      </c>
      <c r="B333" t="s">
        <v>20</v>
      </c>
      <c r="C333" t="s">
        <v>19</v>
      </c>
      <c r="D333" t="s">
        <v>13</v>
      </c>
      <c r="E333">
        <v>195</v>
      </c>
      <c r="F333">
        <v>2021</v>
      </c>
      <c r="G333" t="s">
        <v>18</v>
      </c>
      <c r="H333">
        <v>108532.8</v>
      </c>
      <c r="I333">
        <v>0</v>
      </c>
      <c r="J333">
        <v>359</v>
      </c>
      <c r="K333">
        <v>261</v>
      </c>
      <c r="L333" t="s">
        <v>41</v>
      </c>
      <c r="M333">
        <v>61</v>
      </c>
      <c r="N333" t="s">
        <v>16</v>
      </c>
      <c r="O333" t="s">
        <v>10</v>
      </c>
      <c r="P333" t="s">
        <v>11</v>
      </c>
      <c r="Q333">
        <v>115</v>
      </c>
      <c r="R333">
        <v>2020</v>
      </c>
      <c r="S333" t="s">
        <v>18</v>
      </c>
      <c r="T333">
        <v>35066.25</v>
      </c>
      <c r="U333">
        <v>359</v>
      </c>
      <c r="V333" t="s">
        <v>20</v>
      </c>
      <c r="W333" t="s">
        <v>17</v>
      </c>
      <c r="X333">
        <v>104685.6</v>
      </c>
      <c r="Y333">
        <v>825</v>
      </c>
      <c r="Z333">
        <v>350</v>
      </c>
      <c r="AA333">
        <v>5700</v>
      </c>
      <c r="AB333" s="1">
        <v>18.365894736842101</v>
      </c>
      <c r="AC333" t="s">
        <v>48</v>
      </c>
    </row>
    <row r="334" spans="1:29">
      <c r="A334">
        <v>299</v>
      </c>
      <c r="B334" t="s">
        <v>9</v>
      </c>
      <c r="C334" t="s">
        <v>10</v>
      </c>
      <c r="D334" t="s">
        <v>11</v>
      </c>
      <c r="E334">
        <v>105</v>
      </c>
      <c r="F334">
        <v>2021</v>
      </c>
      <c r="G334" t="s">
        <v>12</v>
      </c>
      <c r="H334">
        <v>121714.8</v>
      </c>
      <c r="I334">
        <v>0</v>
      </c>
      <c r="J334">
        <v>149</v>
      </c>
      <c r="K334">
        <v>1</v>
      </c>
      <c r="L334" t="s">
        <v>40</v>
      </c>
      <c r="M334">
        <v>76</v>
      </c>
      <c r="N334" t="s">
        <v>9</v>
      </c>
      <c r="O334" t="s">
        <v>15</v>
      </c>
      <c r="P334" t="s">
        <v>11</v>
      </c>
      <c r="Q334">
        <v>180</v>
      </c>
      <c r="R334">
        <v>2017</v>
      </c>
      <c r="S334" t="s">
        <v>14</v>
      </c>
      <c r="T334">
        <v>45713</v>
      </c>
      <c r="U334">
        <v>149</v>
      </c>
      <c r="V334" t="s">
        <v>9</v>
      </c>
      <c r="W334" t="s">
        <v>23</v>
      </c>
      <c r="X334">
        <v>104741.64</v>
      </c>
      <c r="Y334">
        <v>1050</v>
      </c>
      <c r="AA334">
        <v>12600</v>
      </c>
      <c r="AB334" s="1">
        <v>8.3128285714285699</v>
      </c>
      <c r="AC334" t="s">
        <v>47</v>
      </c>
    </row>
    <row r="335" spans="1:29">
      <c r="A335">
        <v>172</v>
      </c>
      <c r="B335" t="s">
        <v>9</v>
      </c>
      <c r="C335" t="s">
        <v>10</v>
      </c>
      <c r="D335" t="s">
        <v>11</v>
      </c>
      <c r="E335">
        <v>215</v>
      </c>
      <c r="F335">
        <v>2019</v>
      </c>
      <c r="G335" t="s">
        <v>22</v>
      </c>
      <c r="H335">
        <v>115790.16</v>
      </c>
      <c r="I335">
        <v>0</v>
      </c>
      <c r="J335">
        <v>21</v>
      </c>
      <c r="K335">
        <v>449</v>
      </c>
      <c r="L335" t="s">
        <v>40</v>
      </c>
      <c r="M335">
        <v>90</v>
      </c>
      <c r="N335" t="s">
        <v>9</v>
      </c>
      <c r="O335" t="s">
        <v>23</v>
      </c>
      <c r="P335" t="s">
        <v>11</v>
      </c>
      <c r="Q335">
        <v>230</v>
      </c>
      <c r="R335">
        <v>2022</v>
      </c>
      <c r="S335" t="s">
        <v>22</v>
      </c>
      <c r="T335">
        <v>128345.58</v>
      </c>
      <c r="U335">
        <v>21</v>
      </c>
      <c r="V335" t="s">
        <v>9</v>
      </c>
      <c r="W335" t="s">
        <v>19</v>
      </c>
      <c r="X335">
        <v>104788</v>
      </c>
      <c r="Y335">
        <v>875</v>
      </c>
      <c r="Z335">
        <v>350</v>
      </c>
      <c r="AA335">
        <v>6300</v>
      </c>
      <c r="AB335" s="1">
        <v>16.6330158730158</v>
      </c>
      <c r="AC335" t="s">
        <v>48</v>
      </c>
    </row>
    <row r="336" spans="1:29">
      <c r="A336">
        <v>89</v>
      </c>
      <c r="B336" t="s">
        <v>16</v>
      </c>
      <c r="C336" t="s">
        <v>19</v>
      </c>
      <c r="D336" t="s">
        <v>13</v>
      </c>
      <c r="E336">
        <v>95</v>
      </c>
      <c r="F336">
        <v>2018</v>
      </c>
      <c r="G336" t="s">
        <v>12</v>
      </c>
      <c r="H336">
        <v>38249.4</v>
      </c>
      <c r="I336">
        <v>0</v>
      </c>
      <c r="J336">
        <v>225</v>
      </c>
      <c r="K336">
        <v>437</v>
      </c>
      <c r="L336" t="s">
        <v>40</v>
      </c>
      <c r="M336">
        <v>70</v>
      </c>
      <c r="N336" t="s">
        <v>16</v>
      </c>
      <c r="O336" t="s">
        <v>15</v>
      </c>
      <c r="P336" t="s">
        <v>11</v>
      </c>
      <c r="Q336">
        <v>230</v>
      </c>
      <c r="R336">
        <v>2022</v>
      </c>
      <c r="S336" t="s">
        <v>14</v>
      </c>
      <c r="T336">
        <v>38195.19</v>
      </c>
      <c r="U336">
        <v>225</v>
      </c>
      <c r="V336" t="s">
        <v>20</v>
      </c>
      <c r="W336" t="s">
        <v>17</v>
      </c>
      <c r="X336">
        <v>105150.96</v>
      </c>
      <c r="Y336">
        <v>875</v>
      </c>
      <c r="AA336">
        <v>10500</v>
      </c>
      <c r="AB336" s="1">
        <v>10.0143771428571</v>
      </c>
      <c r="AC336" t="s">
        <v>48</v>
      </c>
    </row>
    <row r="337" spans="1:29">
      <c r="A337">
        <v>413</v>
      </c>
      <c r="B337" t="s">
        <v>16</v>
      </c>
      <c r="C337" t="s">
        <v>17</v>
      </c>
      <c r="D337" t="s">
        <v>11</v>
      </c>
      <c r="E337">
        <v>185</v>
      </c>
      <c r="F337">
        <v>2022</v>
      </c>
      <c r="G337" t="s">
        <v>18</v>
      </c>
      <c r="H337">
        <v>28665.15</v>
      </c>
      <c r="I337">
        <v>0</v>
      </c>
      <c r="J337">
        <v>50</v>
      </c>
      <c r="K337">
        <v>454</v>
      </c>
      <c r="L337" t="s">
        <v>40</v>
      </c>
      <c r="M337">
        <v>85</v>
      </c>
      <c r="N337" t="s">
        <v>9</v>
      </c>
      <c r="O337" t="s">
        <v>19</v>
      </c>
      <c r="P337" t="s">
        <v>11</v>
      </c>
      <c r="Q337">
        <v>200</v>
      </c>
      <c r="R337">
        <v>2022</v>
      </c>
      <c r="S337" t="s">
        <v>12</v>
      </c>
      <c r="T337">
        <v>108716.01</v>
      </c>
      <c r="U337">
        <v>50</v>
      </c>
      <c r="V337" t="s">
        <v>9</v>
      </c>
      <c r="W337" t="s">
        <v>15</v>
      </c>
      <c r="X337">
        <v>105296.1</v>
      </c>
      <c r="Y337">
        <v>950</v>
      </c>
      <c r="Z337">
        <v>250</v>
      </c>
      <c r="AA337">
        <v>8400</v>
      </c>
      <c r="AB337">
        <v>12.53525</v>
      </c>
      <c r="AC337" t="s">
        <v>48</v>
      </c>
    </row>
    <row r="338" spans="1:29">
      <c r="A338">
        <v>243</v>
      </c>
      <c r="B338" t="s">
        <v>16</v>
      </c>
      <c r="C338" t="s">
        <v>19</v>
      </c>
      <c r="D338" t="s">
        <v>11</v>
      </c>
      <c r="E338">
        <v>240</v>
      </c>
      <c r="F338">
        <v>2019</v>
      </c>
      <c r="G338" t="s">
        <v>18</v>
      </c>
      <c r="H338" s="1">
        <v>39854.1</v>
      </c>
      <c r="I338">
        <v>0</v>
      </c>
      <c r="J338">
        <v>28</v>
      </c>
      <c r="K338">
        <v>173</v>
      </c>
      <c r="L338" t="s">
        <v>40</v>
      </c>
      <c r="M338">
        <v>89</v>
      </c>
      <c r="N338" t="s">
        <v>20</v>
      </c>
      <c r="O338" t="s">
        <v>19</v>
      </c>
      <c r="P338" t="s">
        <v>11</v>
      </c>
      <c r="Q338">
        <v>160</v>
      </c>
      <c r="R338">
        <v>2019</v>
      </c>
      <c r="S338" t="s">
        <v>22</v>
      </c>
      <c r="T338">
        <v>116568.2</v>
      </c>
      <c r="U338">
        <v>28</v>
      </c>
      <c r="V338" t="s">
        <v>9</v>
      </c>
      <c r="W338" t="s">
        <v>15</v>
      </c>
      <c r="X338">
        <v>105300</v>
      </c>
      <c r="Y338">
        <v>950</v>
      </c>
      <c r="Z338">
        <v>275</v>
      </c>
      <c r="AA338">
        <v>8100</v>
      </c>
      <c r="AB338">
        <v>13</v>
      </c>
      <c r="AC338" t="s">
        <v>48</v>
      </c>
    </row>
    <row r="339" spans="1:29">
      <c r="A339">
        <v>164</v>
      </c>
      <c r="B339" t="s">
        <v>9</v>
      </c>
      <c r="C339" t="s">
        <v>19</v>
      </c>
      <c r="D339" t="s">
        <v>13</v>
      </c>
      <c r="E339">
        <v>185</v>
      </c>
      <c r="F339">
        <v>2019</v>
      </c>
      <c r="G339" t="s">
        <v>22</v>
      </c>
      <c r="H339">
        <v>94298.66</v>
      </c>
      <c r="I339">
        <v>0</v>
      </c>
      <c r="J339">
        <v>235</v>
      </c>
      <c r="K339">
        <v>441</v>
      </c>
      <c r="L339" t="s">
        <v>40</v>
      </c>
      <c r="M339">
        <v>70</v>
      </c>
      <c r="N339" t="s">
        <v>16</v>
      </c>
      <c r="O339" t="s">
        <v>17</v>
      </c>
      <c r="P339" t="s">
        <v>11</v>
      </c>
      <c r="Q339">
        <v>210</v>
      </c>
      <c r="R339">
        <v>2022</v>
      </c>
      <c r="S339" t="s">
        <v>18</v>
      </c>
      <c r="T339">
        <v>46593.63</v>
      </c>
      <c r="U339">
        <v>235</v>
      </c>
      <c r="V339" t="s">
        <v>9</v>
      </c>
      <c r="W339" t="s">
        <v>23</v>
      </c>
      <c r="X339">
        <v>105589.78</v>
      </c>
      <c r="Y339">
        <v>875</v>
      </c>
      <c r="Z339">
        <v>325</v>
      </c>
      <c r="AA339">
        <v>6600</v>
      </c>
      <c r="AB339" s="1">
        <v>15.998451515151499</v>
      </c>
      <c r="AC339" t="s">
        <v>48</v>
      </c>
    </row>
    <row r="340" spans="1:29">
      <c r="A340">
        <v>416</v>
      </c>
      <c r="B340" t="s">
        <v>16</v>
      </c>
      <c r="C340" t="s">
        <v>10</v>
      </c>
      <c r="D340" t="s">
        <v>13</v>
      </c>
      <c r="E340">
        <v>230</v>
      </c>
      <c r="F340">
        <v>2022</v>
      </c>
      <c r="G340" t="s">
        <v>12</v>
      </c>
      <c r="H340">
        <v>42002.04</v>
      </c>
      <c r="I340">
        <v>0</v>
      </c>
      <c r="J340">
        <v>52</v>
      </c>
      <c r="K340">
        <v>297</v>
      </c>
      <c r="L340" t="s">
        <v>40</v>
      </c>
      <c r="M340">
        <v>85</v>
      </c>
      <c r="N340" t="s">
        <v>9</v>
      </c>
      <c r="O340" t="s">
        <v>15</v>
      </c>
      <c r="P340" t="s">
        <v>11</v>
      </c>
      <c r="Q340">
        <v>225</v>
      </c>
      <c r="R340">
        <v>2021</v>
      </c>
      <c r="S340" t="s">
        <v>14</v>
      </c>
      <c r="T340">
        <v>117471.6</v>
      </c>
      <c r="U340">
        <v>52</v>
      </c>
      <c r="V340" t="s">
        <v>9</v>
      </c>
      <c r="W340" t="s">
        <v>15</v>
      </c>
      <c r="X340">
        <v>105608.88</v>
      </c>
      <c r="Y340">
        <v>950</v>
      </c>
      <c r="Z340">
        <v>200</v>
      </c>
      <c r="AA340">
        <v>9000</v>
      </c>
      <c r="AB340">
        <v>11.73432</v>
      </c>
      <c r="AC340" t="s">
        <v>48</v>
      </c>
    </row>
    <row r="341" spans="1:29">
      <c r="A341">
        <v>485</v>
      </c>
      <c r="B341" t="s">
        <v>16</v>
      </c>
      <c r="C341" t="s">
        <v>19</v>
      </c>
      <c r="D341" t="s">
        <v>13</v>
      </c>
      <c r="E341">
        <v>125</v>
      </c>
      <c r="F341">
        <v>2022</v>
      </c>
      <c r="G341" t="s">
        <v>22</v>
      </c>
      <c r="H341">
        <v>37522.5</v>
      </c>
      <c r="I341">
        <v>0</v>
      </c>
      <c r="J341">
        <v>322</v>
      </c>
      <c r="K341">
        <v>465</v>
      </c>
      <c r="L341" t="s">
        <v>41</v>
      </c>
      <c r="M341">
        <v>63</v>
      </c>
      <c r="N341" t="s">
        <v>16</v>
      </c>
      <c r="O341" t="s">
        <v>19</v>
      </c>
      <c r="P341" t="s">
        <v>11</v>
      </c>
      <c r="Q341">
        <v>150</v>
      </c>
      <c r="R341">
        <v>2022</v>
      </c>
      <c r="S341" t="s">
        <v>14</v>
      </c>
      <c r="T341">
        <v>26068.75</v>
      </c>
      <c r="U341">
        <v>322</v>
      </c>
      <c r="V341" t="s">
        <v>9</v>
      </c>
      <c r="W341" t="s">
        <v>19</v>
      </c>
      <c r="X341">
        <v>105723.6</v>
      </c>
      <c r="Y341">
        <v>950</v>
      </c>
      <c r="Z341">
        <v>275</v>
      </c>
      <c r="AA341">
        <v>8100</v>
      </c>
      <c r="AB341" s="1">
        <v>13.0522962962962</v>
      </c>
      <c r="AC341" t="s">
        <v>48</v>
      </c>
    </row>
    <row r="342" spans="1:29">
      <c r="B342" t="s">
        <v>108</v>
      </c>
      <c r="C342" t="s">
        <v>108</v>
      </c>
      <c r="L342" t="s">
        <v>107</v>
      </c>
      <c r="U342">
        <v>496</v>
      </c>
      <c r="V342" t="s">
        <v>9</v>
      </c>
      <c r="W342" t="s">
        <v>23</v>
      </c>
      <c r="X342">
        <v>105875</v>
      </c>
      <c r="Y342">
        <v>950</v>
      </c>
      <c r="Z342">
        <v>350</v>
      </c>
      <c r="AA342">
        <v>7200</v>
      </c>
      <c r="AB342" s="1">
        <v>14.7048611111111</v>
      </c>
      <c r="AC342" t="s">
        <v>48</v>
      </c>
    </row>
    <row r="343" spans="1:29">
      <c r="A343">
        <v>211</v>
      </c>
      <c r="B343" t="s">
        <v>9</v>
      </c>
      <c r="C343" t="s">
        <v>19</v>
      </c>
      <c r="D343" t="s">
        <v>21</v>
      </c>
      <c r="E343">
        <v>170</v>
      </c>
      <c r="F343">
        <v>2019</v>
      </c>
      <c r="G343" t="s">
        <v>18</v>
      </c>
      <c r="H343">
        <v>100977.72</v>
      </c>
      <c r="I343">
        <v>0</v>
      </c>
      <c r="J343">
        <v>26</v>
      </c>
      <c r="K343">
        <v>58</v>
      </c>
      <c r="L343" t="s">
        <v>40</v>
      </c>
      <c r="M343">
        <v>89</v>
      </c>
      <c r="N343" t="s">
        <v>20</v>
      </c>
      <c r="O343" t="s">
        <v>17</v>
      </c>
      <c r="P343" t="s">
        <v>11</v>
      </c>
      <c r="Q343">
        <v>200</v>
      </c>
      <c r="R343">
        <v>2018</v>
      </c>
      <c r="S343" t="s">
        <v>14</v>
      </c>
      <c r="T343">
        <v>99344.53</v>
      </c>
      <c r="U343">
        <v>26</v>
      </c>
      <c r="V343" t="s">
        <v>9</v>
      </c>
      <c r="W343" t="s">
        <v>17</v>
      </c>
      <c r="X343">
        <v>105910</v>
      </c>
      <c r="Y343">
        <v>875</v>
      </c>
      <c r="Z343">
        <v>250</v>
      </c>
      <c r="AA343">
        <v>7500</v>
      </c>
      <c r="AB343" s="1">
        <v>14.1213333333333</v>
      </c>
      <c r="AC343" t="s">
        <v>48</v>
      </c>
    </row>
    <row r="344" spans="1:29">
      <c r="A344">
        <v>68</v>
      </c>
      <c r="B344" t="s">
        <v>16</v>
      </c>
      <c r="C344" t="s">
        <v>17</v>
      </c>
      <c r="D344" t="s">
        <v>13</v>
      </c>
      <c r="E344">
        <v>195</v>
      </c>
      <c r="F344">
        <v>2018</v>
      </c>
      <c r="G344" t="s">
        <v>18</v>
      </c>
      <c r="H344">
        <v>37968.32</v>
      </c>
      <c r="I344">
        <v>0</v>
      </c>
      <c r="J344">
        <v>4</v>
      </c>
      <c r="K344">
        <v>486</v>
      </c>
      <c r="L344" t="s">
        <v>40</v>
      </c>
      <c r="M344">
        <v>95</v>
      </c>
      <c r="N344" t="s">
        <v>20</v>
      </c>
      <c r="O344" t="s">
        <v>23</v>
      </c>
      <c r="P344" t="s">
        <v>13</v>
      </c>
      <c r="Q344">
        <v>205</v>
      </c>
      <c r="R344">
        <v>2022</v>
      </c>
      <c r="S344" t="s">
        <v>22</v>
      </c>
      <c r="T344">
        <v>113963.75</v>
      </c>
      <c r="U344">
        <v>4</v>
      </c>
      <c r="V344" t="s">
        <v>20</v>
      </c>
      <c r="W344" t="s">
        <v>15</v>
      </c>
      <c r="X344">
        <v>105980</v>
      </c>
      <c r="Y344">
        <v>975</v>
      </c>
      <c r="Z344">
        <v>400</v>
      </c>
      <c r="AA344">
        <v>6900</v>
      </c>
      <c r="AB344" s="1">
        <v>15.359420289855001</v>
      </c>
      <c r="AC344" t="s">
        <v>48</v>
      </c>
    </row>
    <row r="345" spans="1:29">
      <c r="A345">
        <v>138</v>
      </c>
      <c r="B345" t="s">
        <v>9</v>
      </c>
      <c r="C345" t="s">
        <v>23</v>
      </c>
      <c r="D345" t="s">
        <v>13</v>
      </c>
      <c r="E345">
        <v>115</v>
      </c>
      <c r="F345">
        <v>2019</v>
      </c>
      <c r="G345" t="s">
        <v>14</v>
      </c>
      <c r="H345">
        <v>92045.16</v>
      </c>
      <c r="I345">
        <v>0</v>
      </c>
      <c r="J345">
        <v>232</v>
      </c>
      <c r="K345">
        <v>360</v>
      </c>
      <c r="L345" t="s">
        <v>40</v>
      </c>
      <c r="M345">
        <v>70</v>
      </c>
      <c r="N345" t="s">
        <v>16</v>
      </c>
      <c r="O345" t="s">
        <v>17</v>
      </c>
      <c r="P345" t="s">
        <v>11</v>
      </c>
      <c r="Q345">
        <v>215</v>
      </c>
      <c r="R345">
        <v>2021</v>
      </c>
      <c r="S345" t="s">
        <v>12</v>
      </c>
      <c r="T345">
        <v>42669.599999999999</v>
      </c>
      <c r="U345">
        <v>232</v>
      </c>
      <c r="V345" t="s">
        <v>9</v>
      </c>
      <c r="W345" t="s">
        <v>17</v>
      </c>
      <c r="X345">
        <v>106021.44</v>
      </c>
      <c r="Y345">
        <v>825</v>
      </c>
      <c r="Z345">
        <v>175</v>
      </c>
      <c r="AA345">
        <v>7800</v>
      </c>
      <c r="AB345" s="1">
        <v>13.5924923076923</v>
      </c>
      <c r="AC345" t="s">
        <v>48</v>
      </c>
    </row>
    <row r="346" spans="1:29">
      <c r="A346">
        <v>352</v>
      </c>
      <c r="B346" t="s">
        <v>16</v>
      </c>
      <c r="C346" t="s">
        <v>10</v>
      </c>
      <c r="D346" t="s">
        <v>13</v>
      </c>
      <c r="E346">
        <v>180</v>
      </c>
      <c r="F346">
        <v>2021</v>
      </c>
      <c r="G346" t="s">
        <v>18</v>
      </c>
      <c r="H346" s="1" t="s">
        <v>27</v>
      </c>
      <c r="I346">
        <v>0</v>
      </c>
      <c r="J346">
        <v>101</v>
      </c>
      <c r="K346">
        <v>488</v>
      </c>
      <c r="L346" t="s">
        <v>40</v>
      </c>
      <c r="M346">
        <v>80</v>
      </c>
      <c r="N346" t="s">
        <v>9</v>
      </c>
      <c r="O346" t="s">
        <v>15</v>
      </c>
      <c r="P346" t="s">
        <v>13</v>
      </c>
      <c r="Q346">
        <v>245</v>
      </c>
      <c r="R346">
        <v>2022</v>
      </c>
      <c r="S346" t="s">
        <v>14</v>
      </c>
      <c r="T346">
        <v>123923.75</v>
      </c>
      <c r="U346">
        <v>101</v>
      </c>
      <c r="V346" t="s">
        <v>20</v>
      </c>
      <c r="W346" t="s">
        <v>15</v>
      </c>
      <c r="X346">
        <v>106028</v>
      </c>
      <c r="Y346">
        <v>1150</v>
      </c>
      <c r="Z346">
        <v>350</v>
      </c>
      <c r="AA346">
        <v>9600</v>
      </c>
      <c r="AB346" s="1">
        <v>11.0445833333333</v>
      </c>
      <c r="AC346" t="s">
        <v>48</v>
      </c>
    </row>
    <row r="347" spans="1:29">
      <c r="A347">
        <v>405</v>
      </c>
      <c r="B347" t="s">
        <v>20</v>
      </c>
      <c r="C347" t="s">
        <v>23</v>
      </c>
      <c r="D347" t="s">
        <v>11</v>
      </c>
      <c r="E347">
        <v>225</v>
      </c>
      <c r="F347">
        <v>2022</v>
      </c>
      <c r="G347" t="s">
        <v>12</v>
      </c>
      <c r="H347">
        <v>129996.24</v>
      </c>
      <c r="I347">
        <v>0</v>
      </c>
      <c r="J347">
        <v>106</v>
      </c>
      <c r="K347">
        <v>71</v>
      </c>
      <c r="L347" t="s">
        <v>40</v>
      </c>
      <c r="M347">
        <v>79</v>
      </c>
      <c r="N347" t="s">
        <v>9</v>
      </c>
      <c r="O347" t="s">
        <v>23</v>
      </c>
      <c r="P347" t="s">
        <v>13</v>
      </c>
      <c r="Q347">
        <v>205</v>
      </c>
      <c r="R347">
        <v>2018</v>
      </c>
      <c r="S347" t="s">
        <v>14</v>
      </c>
      <c r="T347">
        <v>85768.1</v>
      </c>
      <c r="U347">
        <v>106</v>
      </c>
      <c r="V347" t="s">
        <v>9</v>
      </c>
      <c r="W347" t="s">
        <v>15</v>
      </c>
      <c r="X347">
        <v>106111.63</v>
      </c>
      <c r="Y347">
        <v>950</v>
      </c>
      <c r="Z347">
        <v>300</v>
      </c>
      <c r="AA347">
        <v>7800</v>
      </c>
      <c r="AB347" s="1">
        <v>13.604055128205101</v>
      </c>
      <c r="AC347" t="s">
        <v>48</v>
      </c>
    </row>
    <row r="348" spans="1:29">
      <c r="A348">
        <v>318</v>
      </c>
      <c r="B348" t="s">
        <v>9</v>
      </c>
      <c r="C348" t="s">
        <v>15</v>
      </c>
      <c r="D348" t="s">
        <v>11</v>
      </c>
      <c r="E348">
        <v>90</v>
      </c>
      <c r="F348">
        <v>2021</v>
      </c>
      <c r="G348" t="s">
        <v>12</v>
      </c>
      <c r="H348">
        <v>127162.8</v>
      </c>
      <c r="I348">
        <v>0</v>
      </c>
      <c r="J348">
        <v>296</v>
      </c>
      <c r="K348">
        <v>171</v>
      </c>
      <c r="L348" t="s">
        <v>40</v>
      </c>
      <c r="M348">
        <v>65</v>
      </c>
      <c r="N348" t="s">
        <v>16</v>
      </c>
      <c r="O348" t="s">
        <v>23</v>
      </c>
      <c r="P348" t="s">
        <v>11</v>
      </c>
      <c r="Q348">
        <v>120</v>
      </c>
      <c r="R348">
        <v>2019</v>
      </c>
      <c r="S348" t="s">
        <v>14</v>
      </c>
      <c r="T348">
        <v>35468.400000000001</v>
      </c>
      <c r="U348">
        <v>296</v>
      </c>
      <c r="V348" t="s">
        <v>9</v>
      </c>
      <c r="W348" t="s">
        <v>15</v>
      </c>
      <c r="X348">
        <v>106387.2</v>
      </c>
      <c r="Y348">
        <v>875</v>
      </c>
      <c r="Z348">
        <v>400</v>
      </c>
      <c r="AA348">
        <v>5700</v>
      </c>
      <c r="AB348" s="1">
        <v>18.6644210526315</v>
      </c>
      <c r="AC348" t="s">
        <v>48</v>
      </c>
    </row>
    <row r="349" spans="1:29">
      <c r="A349">
        <v>260</v>
      </c>
      <c r="B349" t="s">
        <v>9</v>
      </c>
      <c r="C349" t="s">
        <v>15</v>
      </c>
      <c r="D349" t="s">
        <v>11</v>
      </c>
      <c r="E349">
        <v>160</v>
      </c>
      <c r="F349">
        <v>2020</v>
      </c>
      <c r="G349" t="s">
        <v>14</v>
      </c>
      <c r="H349">
        <v>134225</v>
      </c>
      <c r="I349">
        <v>0</v>
      </c>
      <c r="J349">
        <v>196</v>
      </c>
      <c r="K349">
        <v>244</v>
      </c>
      <c r="L349" t="s">
        <v>40</v>
      </c>
      <c r="M349">
        <v>72</v>
      </c>
      <c r="N349" t="s">
        <v>16</v>
      </c>
      <c r="O349" t="s">
        <v>23</v>
      </c>
      <c r="P349" t="s">
        <v>11</v>
      </c>
      <c r="Q349">
        <v>240</v>
      </c>
      <c r="R349">
        <v>2019</v>
      </c>
      <c r="S349" t="s">
        <v>22</v>
      </c>
      <c r="T349">
        <v>41961.16</v>
      </c>
      <c r="U349">
        <v>196</v>
      </c>
      <c r="V349" t="s">
        <v>20</v>
      </c>
      <c r="W349" t="s">
        <v>15</v>
      </c>
      <c r="X349">
        <v>106497.14</v>
      </c>
      <c r="Y349">
        <v>975</v>
      </c>
      <c r="Z349">
        <v>425</v>
      </c>
      <c r="AA349">
        <v>6600</v>
      </c>
      <c r="AB349" s="1">
        <v>16.1359303030303</v>
      </c>
      <c r="AC349" t="s">
        <v>48</v>
      </c>
    </row>
    <row r="350" spans="1:29">
      <c r="A350">
        <v>171</v>
      </c>
      <c r="B350" t="s">
        <v>16</v>
      </c>
      <c r="C350" t="s">
        <v>23</v>
      </c>
      <c r="D350" t="s">
        <v>11</v>
      </c>
      <c r="E350">
        <v>120</v>
      </c>
      <c r="F350">
        <v>2019</v>
      </c>
      <c r="G350" t="s">
        <v>14</v>
      </c>
      <c r="H350">
        <v>35468.400000000001</v>
      </c>
      <c r="I350">
        <v>0</v>
      </c>
      <c r="J350">
        <v>136</v>
      </c>
      <c r="K350">
        <v>281</v>
      </c>
      <c r="L350" t="s">
        <v>40</v>
      </c>
      <c r="M350">
        <v>78</v>
      </c>
      <c r="N350" t="s">
        <v>9</v>
      </c>
      <c r="O350" t="s">
        <v>15</v>
      </c>
      <c r="P350" t="s">
        <v>11</v>
      </c>
      <c r="Q350">
        <v>130</v>
      </c>
      <c r="R350">
        <v>2021</v>
      </c>
      <c r="S350" t="s">
        <v>12</v>
      </c>
      <c r="T350">
        <v>127181.58</v>
      </c>
      <c r="U350">
        <v>136</v>
      </c>
      <c r="V350" t="s">
        <v>9</v>
      </c>
      <c r="W350" t="s">
        <v>19</v>
      </c>
      <c r="X350">
        <v>106728.6</v>
      </c>
      <c r="Y350">
        <v>875</v>
      </c>
      <c r="AA350">
        <v>10500</v>
      </c>
      <c r="AB350" s="1">
        <v>10.1646285714285</v>
      </c>
      <c r="AC350" t="s">
        <v>48</v>
      </c>
    </row>
    <row r="351" spans="1:29">
      <c r="A351">
        <v>358</v>
      </c>
      <c r="B351" t="s">
        <v>16</v>
      </c>
      <c r="C351" t="s">
        <v>17</v>
      </c>
      <c r="D351" t="s">
        <v>11</v>
      </c>
      <c r="E351">
        <v>220</v>
      </c>
      <c r="F351">
        <v>2021</v>
      </c>
      <c r="G351" t="s">
        <v>14</v>
      </c>
      <c r="H351">
        <v>37182</v>
      </c>
      <c r="I351">
        <v>0</v>
      </c>
      <c r="J351">
        <v>204</v>
      </c>
      <c r="K351">
        <v>59</v>
      </c>
      <c r="L351" t="s">
        <v>40</v>
      </c>
      <c r="M351">
        <v>72</v>
      </c>
      <c r="N351" t="s">
        <v>9</v>
      </c>
      <c r="O351" t="s">
        <v>19</v>
      </c>
      <c r="P351" t="s">
        <v>11</v>
      </c>
      <c r="Q351">
        <v>155</v>
      </c>
      <c r="R351">
        <v>2018</v>
      </c>
      <c r="S351" t="s">
        <v>22</v>
      </c>
      <c r="T351">
        <v>110199.7</v>
      </c>
      <c r="U351">
        <v>204</v>
      </c>
      <c r="V351" t="s">
        <v>9</v>
      </c>
      <c r="W351" t="s">
        <v>10</v>
      </c>
      <c r="X351">
        <v>106868.14</v>
      </c>
      <c r="Y351">
        <v>975</v>
      </c>
      <c r="Z351">
        <v>175</v>
      </c>
      <c r="AA351">
        <v>9600</v>
      </c>
      <c r="AB351" s="1">
        <v>11.1320979166666</v>
      </c>
      <c r="AC351" t="s">
        <v>48</v>
      </c>
    </row>
    <row r="352" spans="1:29">
      <c r="A352">
        <v>359</v>
      </c>
      <c r="B352" t="s">
        <v>20</v>
      </c>
      <c r="C352" t="s">
        <v>17</v>
      </c>
      <c r="D352" t="s">
        <v>11</v>
      </c>
      <c r="E352">
        <v>165</v>
      </c>
      <c r="F352">
        <v>2021</v>
      </c>
      <c r="G352" t="s">
        <v>18</v>
      </c>
      <c r="H352">
        <v>104685.6</v>
      </c>
      <c r="I352">
        <v>0</v>
      </c>
      <c r="J352">
        <v>304</v>
      </c>
      <c r="K352">
        <v>118</v>
      </c>
      <c r="L352" t="s">
        <v>41</v>
      </c>
      <c r="M352">
        <v>64</v>
      </c>
      <c r="N352" t="s">
        <v>16</v>
      </c>
      <c r="O352" t="s">
        <v>17</v>
      </c>
      <c r="P352" t="s">
        <v>11</v>
      </c>
      <c r="Q352">
        <v>210</v>
      </c>
      <c r="R352">
        <v>2018</v>
      </c>
      <c r="S352" t="s">
        <v>14</v>
      </c>
      <c r="T352" s="1">
        <v>26424.3</v>
      </c>
      <c r="U352">
        <v>304</v>
      </c>
      <c r="V352" t="s">
        <v>9</v>
      </c>
      <c r="W352" t="s">
        <v>19</v>
      </c>
      <c r="X352">
        <v>107226</v>
      </c>
      <c r="Y352">
        <v>875</v>
      </c>
      <c r="Z352">
        <v>325</v>
      </c>
      <c r="AA352">
        <v>6600</v>
      </c>
      <c r="AB352" s="1">
        <v>16.246363636363601</v>
      </c>
      <c r="AC352" t="s">
        <v>48</v>
      </c>
    </row>
    <row r="353" spans="1:29">
      <c r="A353">
        <v>90</v>
      </c>
      <c r="B353" t="s">
        <v>16</v>
      </c>
      <c r="C353" t="s">
        <v>15</v>
      </c>
      <c r="D353" t="s">
        <v>13</v>
      </c>
      <c r="E353">
        <v>195</v>
      </c>
      <c r="F353">
        <v>2018</v>
      </c>
      <c r="G353" t="s">
        <v>14</v>
      </c>
      <c r="H353">
        <v>40276.089999999997</v>
      </c>
      <c r="I353">
        <v>0</v>
      </c>
      <c r="J353">
        <v>9</v>
      </c>
      <c r="K353">
        <v>271</v>
      </c>
      <c r="L353" t="s">
        <v>40</v>
      </c>
      <c r="M353">
        <v>92</v>
      </c>
      <c r="N353" t="s">
        <v>20</v>
      </c>
      <c r="O353" t="s">
        <v>15</v>
      </c>
      <c r="P353" t="s">
        <v>11</v>
      </c>
      <c r="Q353">
        <v>225</v>
      </c>
      <c r="R353">
        <v>2020</v>
      </c>
      <c r="S353" t="s">
        <v>22</v>
      </c>
      <c r="T353">
        <v>107876.25</v>
      </c>
      <c r="U353">
        <v>9</v>
      </c>
      <c r="V353" t="s">
        <v>20</v>
      </c>
      <c r="W353" t="s">
        <v>15</v>
      </c>
      <c r="X353">
        <v>107300</v>
      </c>
      <c r="Y353">
        <v>1150</v>
      </c>
      <c r="Z353">
        <v>700</v>
      </c>
      <c r="AA353">
        <v>5400</v>
      </c>
      <c r="AB353" s="1">
        <v>19.870370370370299</v>
      </c>
      <c r="AC353" t="s">
        <v>48</v>
      </c>
    </row>
    <row r="354" spans="1:29">
      <c r="A354">
        <v>165</v>
      </c>
      <c r="B354" t="s">
        <v>9</v>
      </c>
      <c r="C354" t="s">
        <v>15</v>
      </c>
      <c r="D354" t="s">
        <v>11</v>
      </c>
      <c r="E354">
        <v>160</v>
      </c>
      <c r="F354">
        <v>2019</v>
      </c>
      <c r="G354" t="s">
        <v>22</v>
      </c>
      <c r="H354">
        <v>112656.96000000001</v>
      </c>
      <c r="I354">
        <v>0</v>
      </c>
      <c r="J354">
        <v>236</v>
      </c>
      <c r="K354">
        <v>232</v>
      </c>
      <c r="L354" t="s">
        <v>40</v>
      </c>
      <c r="M354">
        <v>70</v>
      </c>
      <c r="N354" t="s">
        <v>9</v>
      </c>
      <c r="O354" t="s">
        <v>17</v>
      </c>
      <c r="P354" t="s">
        <v>13</v>
      </c>
      <c r="Q354">
        <v>145</v>
      </c>
      <c r="R354">
        <v>2019</v>
      </c>
      <c r="S354" t="s">
        <v>18</v>
      </c>
      <c r="T354">
        <v>106021.44</v>
      </c>
      <c r="U354">
        <v>236</v>
      </c>
      <c r="V354" t="s">
        <v>20</v>
      </c>
      <c r="W354" t="s">
        <v>19</v>
      </c>
      <c r="X354">
        <v>107577.8</v>
      </c>
      <c r="Y354">
        <v>950</v>
      </c>
      <c r="Z354">
        <v>400</v>
      </c>
      <c r="AA354">
        <v>6600</v>
      </c>
      <c r="AB354" s="1">
        <v>16.299666666666599</v>
      </c>
      <c r="AC354" t="s">
        <v>48</v>
      </c>
    </row>
    <row r="355" spans="1:29">
      <c r="A355">
        <v>128</v>
      </c>
      <c r="B355" t="s">
        <v>16</v>
      </c>
      <c r="C355" t="s">
        <v>15</v>
      </c>
      <c r="D355" t="s">
        <v>11</v>
      </c>
      <c r="E355">
        <v>115</v>
      </c>
      <c r="F355">
        <v>2019</v>
      </c>
      <c r="G355" t="s">
        <v>18</v>
      </c>
      <c r="H355" s="1">
        <v>36090.879999999997</v>
      </c>
      <c r="I355">
        <v>0</v>
      </c>
      <c r="J355">
        <v>14</v>
      </c>
      <c r="K355">
        <v>291</v>
      </c>
      <c r="L355" t="s">
        <v>40</v>
      </c>
      <c r="M355">
        <v>92</v>
      </c>
      <c r="N355" t="s">
        <v>20</v>
      </c>
      <c r="O355" t="s">
        <v>15</v>
      </c>
      <c r="P355" t="s">
        <v>11</v>
      </c>
      <c r="Q355">
        <v>165</v>
      </c>
      <c r="R355">
        <v>2021</v>
      </c>
      <c r="S355" t="s">
        <v>18</v>
      </c>
      <c r="T355">
        <v>129960</v>
      </c>
      <c r="U355">
        <v>14</v>
      </c>
      <c r="V355" t="s">
        <v>9</v>
      </c>
      <c r="W355" t="s">
        <v>19</v>
      </c>
      <c r="X355">
        <v>107722</v>
      </c>
      <c r="Y355">
        <v>950</v>
      </c>
      <c r="Z355">
        <v>275</v>
      </c>
      <c r="AA355">
        <v>8100</v>
      </c>
      <c r="AB355" s="1">
        <v>13.299012345678999</v>
      </c>
      <c r="AC355" t="s">
        <v>48</v>
      </c>
    </row>
    <row r="356" spans="1:29">
      <c r="A356">
        <v>497</v>
      </c>
      <c r="B356" t="s">
        <v>16</v>
      </c>
      <c r="C356" t="s">
        <v>17</v>
      </c>
      <c r="D356" t="s">
        <v>11</v>
      </c>
      <c r="E356">
        <v>165</v>
      </c>
      <c r="F356">
        <v>2022</v>
      </c>
      <c r="G356" t="s">
        <v>12</v>
      </c>
      <c r="H356">
        <v>27095</v>
      </c>
      <c r="I356">
        <v>0</v>
      </c>
      <c r="J356">
        <v>65</v>
      </c>
      <c r="K356">
        <v>96</v>
      </c>
      <c r="L356" t="s">
        <v>40</v>
      </c>
      <c r="M356">
        <v>84</v>
      </c>
      <c r="N356" t="s">
        <v>9</v>
      </c>
      <c r="O356" t="s">
        <v>10</v>
      </c>
      <c r="P356" t="s">
        <v>11</v>
      </c>
      <c r="Q356">
        <v>240</v>
      </c>
      <c r="R356">
        <v>2018</v>
      </c>
      <c r="S356" t="s">
        <v>14</v>
      </c>
      <c r="T356">
        <v>112532.16</v>
      </c>
      <c r="U356">
        <v>65</v>
      </c>
      <c r="V356" t="s">
        <v>9</v>
      </c>
      <c r="W356" t="s">
        <v>17</v>
      </c>
      <c r="X356">
        <v>107742.12</v>
      </c>
      <c r="Y356">
        <v>950</v>
      </c>
      <c r="Z356">
        <v>450</v>
      </c>
      <c r="AA356">
        <v>6000</v>
      </c>
      <c r="AB356">
        <v>17.95702</v>
      </c>
      <c r="AC356" t="s">
        <v>48</v>
      </c>
    </row>
    <row r="357" spans="1:29">
      <c r="A357">
        <v>64</v>
      </c>
      <c r="B357" t="s">
        <v>9</v>
      </c>
      <c r="C357" t="s">
        <v>10</v>
      </c>
      <c r="D357" t="s">
        <v>11</v>
      </c>
      <c r="E357">
        <v>125</v>
      </c>
      <c r="F357">
        <v>2018</v>
      </c>
      <c r="G357" t="s">
        <v>22</v>
      </c>
      <c r="H357">
        <v>85485.92</v>
      </c>
      <c r="I357">
        <v>0</v>
      </c>
      <c r="J357">
        <v>271</v>
      </c>
      <c r="K357">
        <v>246</v>
      </c>
      <c r="L357" t="s">
        <v>40</v>
      </c>
      <c r="M357">
        <v>67</v>
      </c>
      <c r="N357" t="s">
        <v>16</v>
      </c>
      <c r="O357" t="s">
        <v>17</v>
      </c>
      <c r="P357" t="s">
        <v>11</v>
      </c>
      <c r="Q357">
        <v>200</v>
      </c>
      <c r="R357">
        <v>2019</v>
      </c>
      <c r="S357" t="s">
        <v>22</v>
      </c>
      <c r="T357" s="1">
        <v>37101.06</v>
      </c>
      <c r="U357">
        <v>271</v>
      </c>
      <c r="V357" t="s">
        <v>20</v>
      </c>
      <c r="W357" t="s">
        <v>15</v>
      </c>
      <c r="X357">
        <v>107876.25</v>
      </c>
      <c r="Y357">
        <v>975</v>
      </c>
      <c r="Z357">
        <v>325</v>
      </c>
      <c r="AA357">
        <v>7800</v>
      </c>
      <c r="AB357" s="1">
        <v>13.8302884615384</v>
      </c>
      <c r="AC357" t="s">
        <v>48</v>
      </c>
    </row>
    <row r="358" spans="1:29">
      <c r="A358">
        <v>43</v>
      </c>
      <c r="B358" t="s">
        <v>20</v>
      </c>
      <c r="C358" t="s">
        <v>23</v>
      </c>
      <c r="D358" t="s">
        <v>13</v>
      </c>
      <c r="E358">
        <v>160</v>
      </c>
      <c r="F358">
        <v>2018</v>
      </c>
      <c r="G358" t="s">
        <v>22</v>
      </c>
      <c r="H358">
        <v>108223.5</v>
      </c>
      <c r="I358">
        <v>0</v>
      </c>
      <c r="J358">
        <v>269</v>
      </c>
      <c r="K358">
        <v>312</v>
      </c>
      <c r="L358" t="s">
        <v>40</v>
      </c>
      <c r="M358">
        <v>67</v>
      </c>
      <c r="N358" t="s">
        <v>16</v>
      </c>
      <c r="O358" t="s">
        <v>19</v>
      </c>
      <c r="P358" t="s">
        <v>11</v>
      </c>
      <c r="Q358">
        <v>175</v>
      </c>
      <c r="R358">
        <v>2021</v>
      </c>
      <c r="S358" t="s">
        <v>14</v>
      </c>
      <c r="T358">
        <v>37052.400000000001</v>
      </c>
      <c r="U358">
        <v>269</v>
      </c>
      <c r="V358" t="s">
        <v>9</v>
      </c>
      <c r="W358" t="s">
        <v>10</v>
      </c>
      <c r="X358">
        <v>107877.5</v>
      </c>
      <c r="Y358">
        <v>975</v>
      </c>
      <c r="AA358">
        <v>11700</v>
      </c>
      <c r="AB358" s="1">
        <v>9.2202991452991405</v>
      </c>
      <c r="AC358" t="s">
        <v>47</v>
      </c>
    </row>
    <row r="359" spans="1:29">
      <c r="A359">
        <v>303</v>
      </c>
      <c r="B359" t="s">
        <v>9</v>
      </c>
      <c r="C359" t="s">
        <v>10</v>
      </c>
      <c r="D359" t="s">
        <v>13</v>
      </c>
      <c r="E359">
        <v>190</v>
      </c>
      <c r="F359">
        <v>2021</v>
      </c>
      <c r="G359" t="s">
        <v>18</v>
      </c>
      <c r="H359">
        <v>96496.8</v>
      </c>
      <c r="I359">
        <v>0</v>
      </c>
      <c r="J359">
        <v>250</v>
      </c>
      <c r="K359">
        <v>305</v>
      </c>
      <c r="L359" t="s">
        <v>40</v>
      </c>
      <c r="M359">
        <v>68</v>
      </c>
      <c r="N359" t="s">
        <v>16</v>
      </c>
      <c r="O359" t="s">
        <v>23</v>
      </c>
      <c r="P359" t="s">
        <v>11</v>
      </c>
      <c r="Q359">
        <v>125</v>
      </c>
      <c r="R359">
        <v>2021</v>
      </c>
      <c r="S359" t="s">
        <v>12</v>
      </c>
      <c r="T359">
        <v>34915.199999999997</v>
      </c>
      <c r="U359">
        <v>250</v>
      </c>
      <c r="V359" t="s">
        <v>9</v>
      </c>
      <c r="W359" t="s">
        <v>10</v>
      </c>
      <c r="X359">
        <v>107901.72</v>
      </c>
      <c r="Y359">
        <v>875</v>
      </c>
      <c r="Z359">
        <v>425</v>
      </c>
      <c r="AA359">
        <v>5400</v>
      </c>
      <c r="AB359">
        <v>19.9818</v>
      </c>
      <c r="AC359" t="s">
        <v>48</v>
      </c>
    </row>
    <row r="360" spans="1:29">
      <c r="A360">
        <v>144</v>
      </c>
      <c r="B360" t="s">
        <v>9</v>
      </c>
      <c r="C360" t="s">
        <v>19</v>
      </c>
      <c r="D360" t="s">
        <v>11</v>
      </c>
      <c r="E360">
        <v>185</v>
      </c>
      <c r="F360">
        <v>2019</v>
      </c>
      <c r="G360" t="s">
        <v>18</v>
      </c>
      <c r="H360">
        <v>96296.76</v>
      </c>
      <c r="I360">
        <v>0</v>
      </c>
      <c r="J360">
        <v>133</v>
      </c>
      <c r="K360">
        <v>453</v>
      </c>
      <c r="L360" t="s">
        <v>40</v>
      </c>
      <c r="M360">
        <v>78</v>
      </c>
      <c r="N360" t="s">
        <v>9</v>
      </c>
      <c r="O360" t="s">
        <v>15</v>
      </c>
      <c r="P360" t="s">
        <v>11</v>
      </c>
      <c r="Q360">
        <v>135</v>
      </c>
      <c r="R360">
        <v>2022</v>
      </c>
      <c r="S360" t="s">
        <v>14</v>
      </c>
      <c r="T360">
        <v>110011.2</v>
      </c>
      <c r="U360">
        <v>133</v>
      </c>
      <c r="V360" t="s">
        <v>20</v>
      </c>
      <c r="W360" t="s">
        <v>19</v>
      </c>
      <c r="X360">
        <v>107933.44</v>
      </c>
      <c r="Y360">
        <v>875</v>
      </c>
      <c r="Z360">
        <v>400</v>
      </c>
      <c r="AA360">
        <v>5700</v>
      </c>
      <c r="AB360" s="1">
        <v>18.935691228070102</v>
      </c>
      <c r="AC360" t="s">
        <v>48</v>
      </c>
    </row>
    <row r="361" spans="1:29">
      <c r="A361">
        <v>302</v>
      </c>
      <c r="B361" t="s">
        <v>9</v>
      </c>
      <c r="C361" t="s">
        <v>19</v>
      </c>
      <c r="D361" t="s">
        <v>11</v>
      </c>
      <c r="E361">
        <v>155</v>
      </c>
      <c r="F361">
        <v>2021</v>
      </c>
      <c r="G361" t="s">
        <v>14</v>
      </c>
      <c r="H361">
        <v>97730.4</v>
      </c>
      <c r="I361">
        <v>0</v>
      </c>
      <c r="J361">
        <v>202</v>
      </c>
      <c r="K361">
        <v>50</v>
      </c>
      <c r="L361" t="s">
        <v>40</v>
      </c>
      <c r="M361">
        <v>72</v>
      </c>
      <c r="N361" t="s">
        <v>9</v>
      </c>
      <c r="O361" t="s">
        <v>15</v>
      </c>
      <c r="P361" t="s">
        <v>11</v>
      </c>
      <c r="Q361">
        <v>120</v>
      </c>
      <c r="R361">
        <v>2018</v>
      </c>
      <c r="S361" t="s">
        <v>14</v>
      </c>
      <c r="T361">
        <v>105296.1</v>
      </c>
      <c r="U361">
        <v>202</v>
      </c>
      <c r="V361" t="s">
        <v>9</v>
      </c>
      <c r="W361" t="s">
        <v>23</v>
      </c>
      <c r="X361">
        <v>107986.44</v>
      </c>
      <c r="Y361">
        <v>875</v>
      </c>
      <c r="Z361">
        <v>350</v>
      </c>
      <c r="AA361">
        <v>6300</v>
      </c>
      <c r="AB361" s="1">
        <v>17.140704761904701</v>
      </c>
      <c r="AC361" t="s">
        <v>48</v>
      </c>
    </row>
    <row r="362" spans="1:29">
      <c r="B362" t="s">
        <v>108</v>
      </c>
      <c r="C362" t="s">
        <v>108</v>
      </c>
      <c r="L362" t="s">
        <v>107</v>
      </c>
      <c r="U362">
        <v>456</v>
      </c>
      <c r="V362" t="s">
        <v>9</v>
      </c>
      <c r="W362" t="s">
        <v>23</v>
      </c>
      <c r="X362">
        <v>108028.44</v>
      </c>
      <c r="Y362">
        <v>875</v>
      </c>
      <c r="Z362">
        <v>175</v>
      </c>
      <c r="AA362">
        <v>8400</v>
      </c>
      <c r="AB362" s="1">
        <v>12.8605285714285</v>
      </c>
      <c r="AC362" t="s">
        <v>48</v>
      </c>
    </row>
    <row r="363" spans="1:29">
      <c r="A363">
        <v>116</v>
      </c>
      <c r="B363" t="s">
        <v>9</v>
      </c>
      <c r="C363" t="s">
        <v>15</v>
      </c>
      <c r="D363" t="s">
        <v>11</v>
      </c>
      <c r="E363">
        <v>160</v>
      </c>
      <c r="F363">
        <v>2018</v>
      </c>
      <c r="G363" t="s">
        <v>14</v>
      </c>
      <c r="H363">
        <v>89028.160000000003</v>
      </c>
      <c r="I363">
        <v>0</v>
      </c>
      <c r="J363">
        <v>277</v>
      </c>
      <c r="K363">
        <v>243</v>
      </c>
      <c r="L363" t="s">
        <v>40</v>
      </c>
      <c r="M363">
        <v>67</v>
      </c>
      <c r="N363" t="s">
        <v>16</v>
      </c>
      <c r="O363" t="s">
        <v>19</v>
      </c>
      <c r="P363" t="s">
        <v>11</v>
      </c>
      <c r="Q363">
        <v>240</v>
      </c>
      <c r="R363">
        <v>2019</v>
      </c>
      <c r="S363" t="s">
        <v>18</v>
      </c>
      <c r="T363" s="1">
        <v>39854.1</v>
      </c>
      <c r="U363">
        <v>277</v>
      </c>
      <c r="V363" t="s">
        <v>9</v>
      </c>
      <c r="W363" t="s">
        <v>15</v>
      </c>
      <c r="X363">
        <v>108067.94</v>
      </c>
      <c r="Y363">
        <v>975</v>
      </c>
      <c r="Z363">
        <v>400</v>
      </c>
      <c r="AA363">
        <v>6900</v>
      </c>
      <c r="AB363" s="1">
        <v>15.662020289855</v>
      </c>
      <c r="AC363" t="s">
        <v>48</v>
      </c>
    </row>
    <row r="364" spans="1:29">
      <c r="A364">
        <v>385</v>
      </c>
      <c r="B364" t="s">
        <v>9</v>
      </c>
      <c r="C364" t="s">
        <v>10</v>
      </c>
      <c r="D364" t="s">
        <v>11</v>
      </c>
      <c r="E364">
        <v>100</v>
      </c>
      <c r="F364">
        <v>2021</v>
      </c>
      <c r="G364" t="s">
        <v>14</v>
      </c>
      <c r="H364">
        <v>111139.2</v>
      </c>
      <c r="I364">
        <v>0</v>
      </c>
      <c r="J364">
        <v>258</v>
      </c>
      <c r="K364">
        <v>208</v>
      </c>
      <c r="L364" t="s">
        <v>40</v>
      </c>
      <c r="M364">
        <v>67</v>
      </c>
      <c r="N364" t="s">
        <v>16</v>
      </c>
      <c r="O364" t="s">
        <v>23</v>
      </c>
      <c r="P364" t="s">
        <v>13</v>
      </c>
      <c r="Q364">
        <v>215</v>
      </c>
      <c r="R364">
        <v>2019</v>
      </c>
      <c r="S364" t="s">
        <v>18</v>
      </c>
      <c r="T364">
        <v>26345.52</v>
      </c>
      <c r="U364">
        <v>258</v>
      </c>
      <c r="V364" t="s">
        <v>9</v>
      </c>
      <c r="W364" t="s">
        <v>10</v>
      </c>
      <c r="X364">
        <v>108071.25</v>
      </c>
      <c r="Y364">
        <v>875</v>
      </c>
      <c r="Z364">
        <v>250</v>
      </c>
      <c r="AA364">
        <v>7500</v>
      </c>
      <c r="AB364">
        <v>14.4095</v>
      </c>
      <c r="AC364" t="s">
        <v>48</v>
      </c>
    </row>
    <row r="365" spans="1:29">
      <c r="B365" t="s">
        <v>108</v>
      </c>
      <c r="C365" t="s">
        <v>108</v>
      </c>
      <c r="L365" t="s">
        <v>107</v>
      </c>
      <c r="U365">
        <v>438</v>
      </c>
      <c r="V365" t="s">
        <v>9</v>
      </c>
      <c r="W365" t="s">
        <v>15</v>
      </c>
      <c r="X365">
        <v>108171.12</v>
      </c>
      <c r="Y365">
        <v>875</v>
      </c>
      <c r="Z365">
        <v>250</v>
      </c>
      <c r="AA365">
        <v>7500</v>
      </c>
      <c r="AB365">
        <v>14.422815999999999</v>
      </c>
      <c r="AC365" t="s">
        <v>48</v>
      </c>
    </row>
    <row r="366" spans="1:29">
      <c r="A366">
        <v>345</v>
      </c>
      <c r="B366" t="s">
        <v>9</v>
      </c>
      <c r="C366" t="s">
        <v>10</v>
      </c>
      <c r="D366" t="s">
        <v>11</v>
      </c>
      <c r="E366">
        <v>225</v>
      </c>
      <c r="F366">
        <v>2021</v>
      </c>
      <c r="G366" t="s">
        <v>22</v>
      </c>
      <c r="H366">
        <v>110974.8</v>
      </c>
      <c r="I366">
        <v>0</v>
      </c>
      <c r="J366">
        <v>43</v>
      </c>
      <c r="K366">
        <v>415</v>
      </c>
      <c r="L366" t="s">
        <v>40</v>
      </c>
      <c r="M366">
        <v>85</v>
      </c>
      <c r="N366" t="s">
        <v>9</v>
      </c>
      <c r="O366" t="s">
        <v>17</v>
      </c>
      <c r="P366" t="s">
        <v>11</v>
      </c>
      <c r="Q366">
        <v>230</v>
      </c>
      <c r="R366">
        <v>2022</v>
      </c>
      <c r="S366" t="s">
        <v>12</v>
      </c>
      <c r="T366">
        <v>103264.65</v>
      </c>
      <c r="U366">
        <v>43</v>
      </c>
      <c r="V366" t="s">
        <v>20</v>
      </c>
      <c r="W366" t="s">
        <v>23</v>
      </c>
      <c r="X366">
        <v>108223.5</v>
      </c>
      <c r="Y366">
        <v>975</v>
      </c>
      <c r="Z366">
        <v>350</v>
      </c>
      <c r="AA366">
        <v>7500</v>
      </c>
      <c r="AB366">
        <v>14.4298</v>
      </c>
      <c r="AC366" t="s">
        <v>48</v>
      </c>
    </row>
    <row r="367" spans="1:29">
      <c r="A367">
        <v>430</v>
      </c>
      <c r="B367" t="s">
        <v>16</v>
      </c>
      <c r="C367" t="s">
        <v>23</v>
      </c>
      <c r="D367" t="s">
        <v>11</v>
      </c>
      <c r="E367">
        <v>140</v>
      </c>
      <c r="F367">
        <v>2022</v>
      </c>
      <c r="G367" t="s">
        <v>14</v>
      </c>
      <c r="H367">
        <v>43512.480000000003</v>
      </c>
      <c r="I367">
        <v>0</v>
      </c>
      <c r="J367">
        <v>112</v>
      </c>
      <c r="K367">
        <v>91</v>
      </c>
      <c r="L367" t="s">
        <v>40</v>
      </c>
      <c r="M367">
        <v>79</v>
      </c>
      <c r="N367" t="s">
        <v>9</v>
      </c>
      <c r="O367" t="s">
        <v>15</v>
      </c>
      <c r="P367" t="s">
        <v>11</v>
      </c>
      <c r="Q367">
        <v>210</v>
      </c>
      <c r="R367">
        <v>2018</v>
      </c>
      <c r="S367" t="s">
        <v>12</v>
      </c>
      <c r="T367">
        <v>95193.63</v>
      </c>
      <c r="U367">
        <v>112</v>
      </c>
      <c r="V367" t="s">
        <v>9</v>
      </c>
      <c r="W367" t="s">
        <v>17</v>
      </c>
      <c r="X367">
        <v>108379.69</v>
      </c>
      <c r="Y367">
        <v>975</v>
      </c>
      <c r="Z367">
        <v>275</v>
      </c>
      <c r="AA367">
        <v>8400</v>
      </c>
      <c r="AB367" s="1">
        <v>12.902344047619</v>
      </c>
      <c r="AC367" t="s">
        <v>48</v>
      </c>
    </row>
    <row r="368" spans="1:29">
      <c r="A368">
        <v>215</v>
      </c>
      <c r="B368" t="s">
        <v>9</v>
      </c>
      <c r="C368" t="s">
        <v>10</v>
      </c>
      <c r="D368" t="s">
        <v>13</v>
      </c>
      <c r="E368">
        <v>235</v>
      </c>
      <c r="F368">
        <v>2019</v>
      </c>
      <c r="G368" t="s">
        <v>14</v>
      </c>
      <c r="H368">
        <v>103862.52</v>
      </c>
      <c r="I368">
        <v>0</v>
      </c>
      <c r="J368">
        <v>398</v>
      </c>
      <c r="K368">
        <v>498</v>
      </c>
      <c r="L368" t="s">
        <v>41</v>
      </c>
      <c r="M368">
        <v>56</v>
      </c>
      <c r="N368" t="s">
        <v>16</v>
      </c>
      <c r="O368" t="s">
        <v>17</v>
      </c>
      <c r="P368" t="s">
        <v>24</v>
      </c>
      <c r="Q368">
        <v>140</v>
      </c>
      <c r="R368">
        <v>2022</v>
      </c>
      <c r="S368" t="s">
        <v>14</v>
      </c>
      <c r="T368">
        <v>35860</v>
      </c>
      <c r="U368">
        <v>398</v>
      </c>
      <c r="V368" t="s">
        <v>9</v>
      </c>
      <c r="W368" t="s">
        <v>19</v>
      </c>
      <c r="X368">
        <v>108384</v>
      </c>
      <c r="Y368">
        <v>975</v>
      </c>
      <c r="Z368">
        <v>325</v>
      </c>
      <c r="AA368">
        <v>7800</v>
      </c>
      <c r="AB368" s="1">
        <v>13.8953846153846</v>
      </c>
      <c r="AC368" t="s">
        <v>48</v>
      </c>
    </row>
    <row r="369" spans="1:29">
      <c r="B369" t="s">
        <v>108</v>
      </c>
      <c r="C369" t="s">
        <v>108</v>
      </c>
      <c r="L369" t="s">
        <v>107</v>
      </c>
      <c r="U369">
        <v>451</v>
      </c>
      <c r="V369" t="s">
        <v>9</v>
      </c>
      <c r="W369" t="s">
        <v>23</v>
      </c>
      <c r="X369">
        <v>108492.15</v>
      </c>
      <c r="Y369">
        <v>975</v>
      </c>
      <c r="Z369">
        <v>375</v>
      </c>
      <c r="AA369">
        <v>7200</v>
      </c>
      <c r="AB369" s="1">
        <v>15.0683541666666</v>
      </c>
      <c r="AC369" t="s">
        <v>48</v>
      </c>
    </row>
    <row r="370" spans="1:29">
      <c r="A370">
        <v>186</v>
      </c>
      <c r="B370" t="s">
        <v>16</v>
      </c>
      <c r="C370" t="s">
        <v>17</v>
      </c>
      <c r="D370" t="s">
        <v>13</v>
      </c>
      <c r="E370">
        <v>130</v>
      </c>
      <c r="F370">
        <v>2019</v>
      </c>
      <c r="G370" t="s">
        <v>22</v>
      </c>
      <c r="H370">
        <v>42161.04</v>
      </c>
      <c r="I370">
        <v>0</v>
      </c>
      <c r="J370">
        <v>393</v>
      </c>
      <c r="K370">
        <v>214</v>
      </c>
      <c r="L370" t="s">
        <v>41</v>
      </c>
      <c r="M370">
        <v>56</v>
      </c>
      <c r="N370" t="s">
        <v>16</v>
      </c>
      <c r="O370" t="s">
        <v>23</v>
      </c>
      <c r="P370" t="s">
        <v>13</v>
      </c>
      <c r="Q370">
        <v>115</v>
      </c>
      <c r="R370">
        <v>2019</v>
      </c>
      <c r="S370" t="s">
        <v>22</v>
      </c>
      <c r="T370">
        <v>23819.4</v>
      </c>
      <c r="U370">
        <v>393</v>
      </c>
      <c r="V370" t="s">
        <v>20</v>
      </c>
      <c r="W370" t="s">
        <v>19</v>
      </c>
      <c r="X370">
        <v>108532.8</v>
      </c>
      <c r="Y370">
        <v>825</v>
      </c>
      <c r="Z370">
        <v>350</v>
      </c>
      <c r="AA370">
        <v>5700</v>
      </c>
      <c r="AB370" s="1">
        <v>19.040842105263099</v>
      </c>
      <c r="AC370" t="s">
        <v>48</v>
      </c>
    </row>
    <row r="371" spans="1:29">
      <c r="A371">
        <v>364</v>
      </c>
      <c r="B371" t="s">
        <v>20</v>
      </c>
      <c r="C371" t="s">
        <v>10</v>
      </c>
      <c r="D371" t="s">
        <v>29</v>
      </c>
      <c r="E371">
        <v>120</v>
      </c>
      <c r="F371">
        <v>2021</v>
      </c>
      <c r="G371" t="s">
        <v>18</v>
      </c>
      <c r="H371">
        <v>108694.8</v>
      </c>
      <c r="I371">
        <v>0</v>
      </c>
      <c r="J371">
        <v>205</v>
      </c>
      <c r="K371">
        <v>62</v>
      </c>
      <c r="L371" t="s">
        <v>40</v>
      </c>
      <c r="M371">
        <v>71</v>
      </c>
      <c r="N371" t="s">
        <v>9</v>
      </c>
      <c r="O371" t="s">
        <v>17</v>
      </c>
      <c r="P371" t="s">
        <v>13</v>
      </c>
      <c r="Q371">
        <v>180</v>
      </c>
      <c r="R371">
        <v>2018</v>
      </c>
      <c r="S371" t="s">
        <v>22</v>
      </c>
      <c r="T371" s="1">
        <v>86864.4</v>
      </c>
      <c r="U371">
        <v>205</v>
      </c>
      <c r="V371" t="s">
        <v>9</v>
      </c>
      <c r="W371" t="s">
        <v>10</v>
      </c>
      <c r="X371">
        <v>108537.64</v>
      </c>
      <c r="Y371">
        <v>975</v>
      </c>
      <c r="Z371">
        <v>425</v>
      </c>
      <c r="AA371">
        <v>6600</v>
      </c>
      <c r="AB371" s="1">
        <v>16.445096969696898</v>
      </c>
      <c r="AC371" t="s">
        <v>48</v>
      </c>
    </row>
    <row r="372" spans="1:29">
      <c r="A372">
        <v>191</v>
      </c>
      <c r="B372" t="s">
        <v>16</v>
      </c>
      <c r="C372" t="s">
        <v>17</v>
      </c>
      <c r="D372" t="s">
        <v>11</v>
      </c>
      <c r="E372">
        <v>110</v>
      </c>
      <c r="F372">
        <v>2019</v>
      </c>
      <c r="G372" t="s">
        <v>22</v>
      </c>
      <c r="H372">
        <v>37345.32</v>
      </c>
      <c r="I372">
        <v>0</v>
      </c>
      <c r="J372">
        <v>23</v>
      </c>
      <c r="K372">
        <v>259</v>
      </c>
      <c r="L372" t="s">
        <v>40</v>
      </c>
      <c r="M372">
        <v>90</v>
      </c>
      <c r="N372" t="s">
        <v>20</v>
      </c>
      <c r="O372" t="s">
        <v>10</v>
      </c>
      <c r="P372" t="s">
        <v>11</v>
      </c>
      <c r="Q372">
        <v>155</v>
      </c>
      <c r="R372">
        <v>2020</v>
      </c>
      <c r="S372" t="s">
        <v>14</v>
      </c>
      <c r="T372">
        <v>134545</v>
      </c>
      <c r="U372">
        <v>23</v>
      </c>
      <c r="V372" t="s">
        <v>9</v>
      </c>
      <c r="W372" t="s">
        <v>23</v>
      </c>
      <c r="X372">
        <v>108542</v>
      </c>
      <c r="Y372">
        <v>950</v>
      </c>
      <c r="Z372">
        <v>400</v>
      </c>
      <c r="AA372">
        <v>6600</v>
      </c>
      <c r="AB372" s="1">
        <v>16.445757575757501</v>
      </c>
      <c r="AC372" t="s">
        <v>48</v>
      </c>
    </row>
    <row r="373" spans="1:29">
      <c r="A373">
        <v>421</v>
      </c>
      <c r="B373" t="s">
        <v>20</v>
      </c>
      <c r="C373" t="s">
        <v>15</v>
      </c>
      <c r="D373" t="s">
        <v>13</v>
      </c>
      <c r="E373">
        <v>120</v>
      </c>
      <c r="F373">
        <v>2022</v>
      </c>
      <c r="G373" t="s">
        <v>18</v>
      </c>
      <c r="H373">
        <v>118322.31</v>
      </c>
      <c r="I373">
        <v>0</v>
      </c>
      <c r="J373">
        <v>364</v>
      </c>
      <c r="K373">
        <v>192</v>
      </c>
      <c r="L373" t="s">
        <v>41</v>
      </c>
      <c r="M373">
        <v>60</v>
      </c>
      <c r="N373" t="s">
        <v>16</v>
      </c>
      <c r="O373" t="s">
        <v>19</v>
      </c>
      <c r="P373" t="s">
        <v>11</v>
      </c>
      <c r="Q373">
        <v>135</v>
      </c>
      <c r="R373">
        <v>2019</v>
      </c>
      <c r="S373" t="s">
        <v>14</v>
      </c>
      <c r="T373">
        <v>30542.84</v>
      </c>
      <c r="U373">
        <v>364</v>
      </c>
      <c r="V373" t="s">
        <v>20</v>
      </c>
      <c r="W373" t="s">
        <v>10</v>
      </c>
      <c r="X373">
        <v>108694.8</v>
      </c>
      <c r="Y373">
        <v>825</v>
      </c>
      <c r="Z373">
        <v>325</v>
      </c>
      <c r="AA373">
        <v>6000</v>
      </c>
      <c r="AB373">
        <v>18.1158</v>
      </c>
      <c r="AC373" t="s">
        <v>48</v>
      </c>
    </row>
    <row r="374" spans="1:29">
      <c r="B374" t="s">
        <v>108</v>
      </c>
      <c r="C374" t="s">
        <v>108</v>
      </c>
      <c r="L374" t="s">
        <v>107</v>
      </c>
      <c r="U374">
        <v>454</v>
      </c>
      <c r="V374" t="s">
        <v>9</v>
      </c>
      <c r="W374" t="s">
        <v>19</v>
      </c>
      <c r="X374">
        <v>108716.01</v>
      </c>
      <c r="Y374">
        <v>875</v>
      </c>
      <c r="Z374">
        <v>225</v>
      </c>
      <c r="AA374">
        <v>7800</v>
      </c>
      <c r="AB374">
        <v>13.937950000000001</v>
      </c>
      <c r="AC374" t="s">
        <v>48</v>
      </c>
    </row>
    <row r="375" spans="1:29">
      <c r="A375">
        <v>115</v>
      </c>
      <c r="B375" t="s">
        <v>16</v>
      </c>
      <c r="C375" t="s">
        <v>17</v>
      </c>
      <c r="D375" t="s">
        <v>11</v>
      </c>
      <c r="E375">
        <v>235</v>
      </c>
      <c r="F375">
        <v>2018</v>
      </c>
      <c r="G375" t="s">
        <v>22</v>
      </c>
      <c r="H375">
        <v>35494.160000000003</v>
      </c>
      <c r="I375">
        <v>0</v>
      </c>
      <c r="J375">
        <v>178</v>
      </c>
      <c r="K375">
        <v>93</v>
      </c>
      <c r="L375" t="s">
        <v>40</v>
      </c>
      <c r="M375">
        <v>74</v>
      </c>
      <c r="N375" t="s">
        <v>9</v>
      </c>
      <c r="O375" t="s">
        <v>17</v>
      </c>
      <c r="P375" t="s">
        <v>13</v>
      </c>
      <c r="Q375">
        <v>225</v>
      </c>
      <c r="R375">
        <v>2018</v>
      </c>
      <c r="S375" t="s">
        <v>14</v>
      </c>
      <c r="T375">
        <v>109950.88</v>
      </c>
      <c r="U375">
        <v>178</v>
      </c>
      <c r="V375" t="s">
        <v>9</v>
      </c>
      <c r="W375" t="s">
        <v>19</v>
      </c>
      <c r="X375">
        <v>108794.88</v>
      </c>
      <c r="Y375">
        <v>975</v>
      </c>
      <c r="Z375">
        <v>275</v>
      </c>
      <c r="AA375">
        <v>8400</v>
      </c>
      <c r="AB375" s="1">
        <v>12.9517714285714</v>
      </c>
      <c r="AC375" t="s">
        <v>48</v>
      </c>
    </row>
    <row r="376" spans="1:29">
      <c r="A376">
        <v>426</v>
      </c>
      <c r="B376" t="s">
        <v>20</v>
      </c>
      <c r="C376" t="s">
        <v>17</v>
      </c>
      <c r="D376" t="s">
        <v>11</v>
      </c>
      <c r="E376">
        <v>185</v>
      </c>
      <c r="F376">
        <v>2022</v>
      </c>
      <c r="G376" t="s">
        <v>12</v>
      </c>
      <c r="H376">
        <v>124918.8</v>
      </c>
      <c r="I376">
        <v>0</v>
      </c>
      <c r="J376">
        <v>111</v>
      </c>
      <c r="K376">
        <v>180</v>
      </c>
      <c r="L376" t="s">
        <v>40</v>
      </c>
      <c r="M376">
        <v>79</v>
      </c>
      <c r="N376" t="s">
        <v>9</v>
      </c>
      <c r="O376" t="s">
        <v>19</v>
      </c>
      <c r="P376" t="s">
        <v>11</v>
      </c>
      <c r="Q376">
        <v>160</v>
      </c>
      <c r="R376">
        <v>2019</v>
      </c>
      <c r="S376" t="s">
        <v>14</v>
      </c>
      <c r="T376">
        <v>93024.8</v>
      </c>
      <c r="U376">
        <v>111</v>
      </c>
      <c r="V376" t="s">
        <v>9</v>
      </c>
      <c r="W376" t="s">
        <v>19</v>
      </c>
      <c r="X376">
        <v>108838.8</v>
      </c>
      <c r="Y376">
        <v>825</v>
      </c>
      <c r="Z376">
        <v>275</v>
      </c>
      <c r="AA376">
        <v>6600</v>
      </c>
      <c r="AB376" s="1">
        <v>16.490727272727199</v>
      </c>
      <c r="AC376" t="s">
        <v>48</v>
      </c>
    </row>
    <row r="377" spans="1:29">
      <c r="A377">
        <v>392</v>
      </c>
      <c r="B377" t="s">
        <v>9</v>
      </c>
      <c r="C377" t="s">
        <v>17</v>
      </c>
      <c r="D377" t="s">
        <v>11</v>
      </c>
      <c r="E377">
        <v>195</v>
      </c>
      <c r="F377">
        <v>2021</v>
      </c>
      <c r="G377" t="s">
        <v>22</v>
      </c>
      <c r="H377">
        <v>103060.8</v>
      </c>
      <c r="I377">
        <v>0</v>
      </c>
      <c r="J377">
        <v>310</v>
      </c>
      <c r="K377">
        <v>323</v>
      </c>
      <c r="L377" t="s">
        <v>41</v>
      </c>
      <c r="M377">
        <v>64</v>
      </c>
      <c r="N377" t="s">
        <v>16</v>
      </c>
      <c r="O377" t="s">
        <v>10</v>
      </c>
      <c r="P377" t="s">
        <v>11</v>
      </c>
      <c r="Q377">
        <v>115</v>
      </c>
      <c r="R377">
        <v>2021</v>
      </c>
      <c r="S377" t="s">
        <v>18</v>
      </c>
      <c r="T377">
        <v>29636.400000000001</v>
      </c>
      <c r="U377">
        <v>310</v>
      </c>
      <c r="V377" t="s">
        <v>9</v>
      </c>
      <c r="W377" t="s">
        <v>23</v>
      </c>
      <c r="X377">
        <v>108994.8</v>
      </c>
      <c r="Y377">
        <v>825</v>
      </c>
      <c r="Z377">
        <v>225</v>
      </c>
      <c r="AA377">
        <v>7200</v>
      </c>
      <c r="AB377" s="1">
        <v>15.138166666666599</v>
      </c>
      <c r="AC377" t="s">
        <v>48</v>
      </c>
    </row>
    <row r="378" spans="1:29">
      <c r="A378">
        <v>149</v>
      </c>
      <c r="B378" t="s">
        <v>9</v>
      </c>
      <c r="C378" t="s">
        <v>23</v>
      </c>
      <c r="D378" t="s">
        <v>21</v>
      </c>
      <c r="E378">
        <v>95</v>
      </c>
      <c r="F378">
        <v>2019</v>
      </c>
      <c r="G378" t="s">
        <v>14</v>
      </c>
      <c r="H378">
        <v>104741.64</v>
      </c>
      <c r="I378">
        <v>0</v>
      </c>
      <c r="J378">
        <v>181</v>
      </c>
      <c r="K378">
        <v>368</v>
      </c>
      <c r="L378" t="s">
        <v>40</v>
      </c>
      <c r="M378">
        <v>73</v>
      </c>
      <c r="N378" t="s">
        <v>9</v>
      </c>
      <c r="O378" t="s">
        <v>15</v>
      </c>
      <c r="P378" t="s">
        <v>13</v>
      </c>
      <c r="Q378">
        <v>150</v>
      </c>
      <c r="R378">
        <v>2021</v>
      </c>
      <c r="S378" t="s">
        <v>14</v>
      </c>
      <c r="T378">
        <v>96958.8</v>
      </c>
      <c r="U378">
        <v>181</v>
      </c>
      <c r="V378" t="s">
        <v>9</v>
      </c>
      <c r="W378" t="s">
        <v>19</v>
      </c>
      <c r="X378">
        <v>109395.18</v>
      </c>
      <c r="Y378">
        <v>875</v>
      </c>
      <c r="Z378">
        <v>225</v>
      </c>
      <c r="AA378">
        <v>7800</v>
      </c>
      <c r="AB378" s="1">
        <v>14.025023076923</v>
      </c>
      <c r="AC378" t="s">
        <v>48</v>
      </c>
    </row>
    <row r="379" spans="1:29">
      <c r="A379">
        <v>476</v>
      </c>
      <c r="B379" t="s">
        <v>9</v>
      </c>
      <c r="C379" t="s">
        <v>15</v>
      </c>
      <c r="D379" t="s">
        <v>13</v>
      </c>
      <c r="E379">
        <v>205</v>
      </c>
      <c r="F379">
        <v>2022</v>
      </c>
      <c r="G379" t="s">
        <v>12</v>
      </c>
      <c r="H379">
        <v>129618.75</v>
      </c>
      <c r="I379">
        <v>0</v>
      </c>
      <c r="J379">
        <v>422</v>
      </c>
      <c r="K379">
        <v>103</v>
      </c>
      <c r="L379" t="s">
        <v>41</v>
      </c>
      <c r="M379">
        <v>48</v>
      </c>
      <c r="N379" t="s">
        <v>16</v>
      </c>
      <c r="O379" t="s">
        <v>19</v>
      </c>
      <c r="P379" t="s">
        <v>13</v>
      </c>
      <c r="Q379">
        <v>95</v>
      </c>
      <c r="R379">
        <v>2018</v>
      </c>
      <c r="S379" t="s">
        <v>14</v>
      </c>
      <c r="T379">
        <v>27925.360000000001</v>
      </c>
      <c r="U379">
        <v>422</v>
      </c>
      <c r="V379" t="s">
        <v>9</v>
      </c>
      <c r="W379" t="s">
        <v>17</v>
      </c>
      <c r="X379">
        <v>109419.57</v>
      </c>
      <c r="Y379">
        <v>975</v>
      </c>
      <c r="Z379">
        <v>150</v>
      </c>
      <c r="AA379">
        <v>9900</v>
      </c>
      <c r="AB379" s="1">
        <v>11.0524818181818</v>
      </c>
      <c r="AC379" t="s">
        <v>48</v>
      </c>
    </row>
    <row r="380" spans="1:29">
      <c r="A380">
        <v>225</v>
      </c>
      <c r="B380" t="s">
        <v>20</v>
      </c>
      <c r="C380" t="s">
        <v>17</v>
      </c>
      <c r="D380" t="s">
        <v>13</v>
      </c>
      <c r="E380">
        <v>220</v>
      </c>
      <c r="F380">
        <v>2019</v>
      </c>
      <c r="G380" t="s">
        <v>12</v>
      </c>
      <c r="H380">
        <v>105150.96</v>
      </c>
      <c r="I380">
        <v>0</v>
      </c>
      <c r="J380">
        <v>241</v>
      </c>
      <c r="K380">
        <v>97</v>
      </c>
      <c r="L380" t="s">
        <v>40</v>
      </c>
      <c r="M380">
        <v>69</v>
      </c>
      <c r="N380" t="s">
        <v>16</v>
      </c>
      <c r="O380" t="s">
        <v>10</v>
      </c>
      <c r="P380" t="s">
        <v>11</v>
      </c>
      <c r="Q380">
        <v>205</v>
      </c>
      <c r="R380">
        <v>2018</v>
      </c>
      <c r="S380" t="s">
        <v>18</v>
      </c>
      <c r="T380">
        <v>37352.699999999997</v>
      </c>
      <c r="U380">
        <v>241</v>
      </c>
      <c r="V380" t="s">
        <v>9</v>
      </c>
      <c r="W380" t="s">
        <v>19</v>
      </c>
      <c r="X380">
        <v>109946.16</v>
      </c>
      <c r="Y380">
        <v>825</v>
      </c>
      <c r="Z380">
        <v>325</v>
      </c>
      <c r="AA380">
        <v>6000</v>
      </c>
      <c r="AB380">
        <v>18.324359999999999</v>
      </c>
      <c r="AC380" t="s">
        <v>48</v>
      </c>
    </row>
    <row r="381" spans="1:29">
      <c r="A381">
        <v>252</v>
      </c>
      <c r="B381" t="s">
        <v>20</v>
      </c>
      <c r="C381" t="s">
        <v>15</v>
      </c>
      <c r="D381" t="s">
        <v>11</v>
      </c>
      <c r="E381">
        <v>215</v>
      </c>
      <c r="F381">
        <v>2019</v>
      </c>
      <c r="G381" t="s">
        <v>22</v>
      </c>
      <c r="H381">
        <v>116251.26</v>
      </c>
      <c r="I381">
        <v>0</v>
      </c>
      <c r="J381">
        <v>93</v>
      </c>
      <c r="K381">
        <v>220</v>
      </c>
      <c r="L381" t="s">
        <v>40</v>
      </c>
      <c r="M381">
        <v>80</v>
      </c>
      <c r="N381" t="s">
        <v>9</v>
      </c>
      <c r="O381" t="s">
        <v>23</v>
      </c>
      <c r="P381" t="s">
        <v>11</v>
      </c>
      <c r="Q381">
        <v>125</v>
      </c>
      <c r="R381">
        <v>2019</v>
      </c>
      <c r="S381" t="s">
        <v>12</v>
      </c>
      <c r="T381">
        <v>93743.22</v>
      </c>
      <c r="U381">
        <v>93</v>
      </c>
      <c r="V381" t="s">
        <v>9</v>
      </c>
      <c r="W381" t="s">
        <v>17</v>
      </c>
      <c r="X381">
        <v>109950.88</v>
      </c>
      <c r="Y381">
        <v>950</v>
      </c>
      <c r="Z381">
        <v>425</v>
      </c>
      <c r="AA381">
        <v>6300</v>
      </c>
      <c r="AB381" s="1">
        <v>17.452520634920599</v>
      </c>
      <c r="AC381" t="s">
        <v>48</v>
      </c>
    </row>
    <row r="382" spans="1:29">
      <c r="B382" t="s">
        <v>108</v>
      </c>
      <c r="C382" t="s">
        <v>108</v>
      </c>
      <c r="L382" t="s">
        <v>107</v>
      </c>
      <c r="U382">
        <v>453</v>
      </c>
      <c r="V382" t="s">
        <v>9</v>
      </c>
      <c r="W382" t="s">
        <v>15</v>
      </c>
      <c r="X382">
        <v>110011.2</v>
      </c>
      <c r="Y382">
        <v>950</v>
      </c>
      <c r="Z382">
        <v>250</v>
      </c>
      <c r="AA382">
        <v>8400</v>
      </c>
      <c r="AB382" s="1">
        <v>13.0965714285714</v>
      </c>
      <c r="AC382" t="s">
        <v>48</v>
      </c>
    </row>
    <row r="383" spans="1:29">
      <c r="A383">
        <v>469</v>
      </c>
      <c r="B383" t="s">
        <v>9</v>
      </c>
      <c r="C383" t="s">
        <v>23</v>
      </c>
      <c r="D383" t="s">
        <v>13</v>
      </c>
      <c r="E383">
        <v>175</v>
      </c>
      <c r="F383">
        <v>2022</v>
      </c>
      <c r="G383" t="s">
        <v>12</v>
      </c>
      <c r="H383">
        <v>118886.25</v>
      </c>
      <c r="I383">
        <v>0</v>
      </c>
      <c r="J383">
        <v>59</v>
      </c>
      <c r="K383">
        <v>351</v>
      </c>
      <c r="L383" t="s">
        <v>40</v>
      </c>
      <c r="M383">
        <v>85</v>
      </c>
      <c r="N383" t="s">
        <v>9</v>
      </c>
      <c r="O383" t="s">
        <v>10</v>
      </c>
      <c r="P383" t="s">
        <v>13</v>
      </c>
      <c r="Q383">
        <v>230</v>
      </c>
      <c r="R383">
        <v>2021</v>
      </c>
      <c r="S383" t="s">
        <v>22</v>
      </c>
      <c r="T383">
        <v>126897.60000000001</v>
      </c>
      <c r="U383">
        <v>59</v>
      </c>
      <c r="V383" t="s">
        <v>9</v>
      </c>
      <c r="W383" t="s">
        <v>19</v>
      </c>
      <c r="X383">
        <v>110199.7</v>
      </c>
      <c r="Y383">
        <v>975</v>
      </c>
      <c r="Z383">
        <v>225</v>
      </c>
      <c r="AA383">
        <v>9000</v>
      </c>
      <c r="AB383" s="1">
        <v>12.2444111111111</v>
      </c>
      <c r="AC383" t="s">
        <v>48</v>
      </c>
    </row>
    <row r="384" spans="1:29">
      <c r="A384">
        <v>354</v>
      </c>
      <c r="B384" t="s">
        <v>16</v>
      </c>
      <c r="C384" t="s">
        <v>17</v>
      </c>
      <c r="D384" t="s">
        <v>11</v>
      </c>
      <c r="E384">
        <v>190</v>
      </c>
      <c r="F384">
        <v>2021</v>
      </c>
      <c r="G384" t="s">
        <v>22</v>
      </c>
      <c r="H384">
        <v>37770</v>
      </c>
      <c r="I384">
        <v>0</v>
      </c>
      <c r="J384">
        <v>44</v>
      </c>
      <c r="K384">
        <v>347</v>
      </c>
      <c r="L384" t="s">
        <v>40</v>
      </c>
      <c r="M384">
        <v>85</v>
      </c>
      <c r="N384" t="s">
        <v>9</v>
      </c>
      <c r="O384" t="s">
        <v>19</v>
      </c>
      <c r="P384" t="s">
        <v>11</v>
      </c>
      <c r="Q384">
        <v>200</v>
      </c>
      <c r="R384">
        <v>2021</v>
      </c>
      <c r="S384" t="s">
        <v>18</v>
      </c>
      <c r="T384">
        <v>104378.4</v>
      </c>
      <c r="U384">
        <v>44</v>
      </c>
      <c r="V384" t="s">
        <v>9</v>
      </c>
      <c r="W384" t="s">
        <v>17</v>
      </c>
      <c r="X384">
        <v>110680.5</v>
      </c>
      <c r="Y384">
        <v>950</v>
      </c>
      <c r="Z384">
        <v>375</v>
      </c>
      <c r="AA384">
        <v>6900</v>
      </c>
      <c r="AB384" s="1">
        <v>16.040652173912999</v>
      </c>
      <c r="AC384" t="s">
        <v>48</v>
      </c>
    </row>
    <row r="385" spans="1:29">
      <c r="B385" t="s">
        <v>108</v>
      </c>
      <c r="C385" t="s">
        <v>108</v>
      </c>
      <c r="L385" t="s">
        <v>107</v>
      </c>
      <c r="U385">
        <v>433</v>
      </c>
      <c r="V385" t="s">
        <v>9</v>
      </c>
      <c r="W385" t="s">
        <v>19</v>
      </c>
      <c r="X385">
        <v>110696.31</v>
      </c>
      <c r="Y385">
        <v>875</v>
      </c>
      <c r="Z385">
        <v>325</v>
      </c>
      <c r="AA385">
        <v>6600</v>
      </c>
      <c r="AB385" s="1">
        <v>16.772168181818099</v>
      </c>
      <c r="AC385" t="s">
        <v>48</v>
      </c>
    </row>
    <row r="386" spans="1:29">
      <c r="B386" t="s">
        <v>108</v>
      </c>
      <c r="C386" t="s">
        <v>108</v>
      </c>
      <c r="L386" t="s">
        <v>107</v>
      </c>
      <c r="U386">
        <v>452</v>
      </c>
      <c r="V386" t="s">
        <v>20</v>
      </c>
      <c r="W386" t="s">
        <v>15</v>
      </c>
      <c r="X386">
        <v>110757.81</v>
      </c>
      <c r="Y386">
        <v>950</v>
      </c>
      <c r="Z386">
        <v>325</v>
      </c>
      <c r="AA386">
        <v>7500</v>
      </c>
      <c r="AB386">
        <v>14.767708000000001</v>
      </c>
      <c r="AC386" t="s">
        <v>48</v>
      </c>
    </row>
    <row r="387" spans="1:29">
      <c r="A387">
        <v>495</v>
      </c>
      <c r="B387" t="s">
        <v>16</v>
      </c>
      <c r="C387" t="s">
        <v>19</v>
      </c>
      <c r="D387" t="s">
        <v>11</v>
      </c>
      <c r="E387">
        <v>125</v>
      </c>
      <c r="F387">
        <v>2022</v>
      </c>
      <c r="G387" t="s">
        <v>18</v>
      </c>
      <c r="H387">
        <v>44121.25</v>
      </c>
      <c r="I387">
        <v>0</v>
      </c>
      <c r="J387">
        <v>217</v>
      </c>
      <c r="K387">
        <v>472</v>
      </c>
      <c r="L387" t="s">
        <v>40</v>
      </c>
      <c r="M387">
        <v>71</v>
      </c>
      <c r="N387" t="s">
        <v>9</v>
      </c>
      <c r="O387" t="s">
        <v>15</v>
      </c>
      <c r="P387" t="s">
        <v>24</v>
      </c>
      <c r="Q387">
        <v>140</v>
      </c>
      <c r="R387">
        <v>2022</v>
      </c>
      <c r="S387" t="s">
        <v>18</v>
      </c>
      <c r="T387">
        <v>117221.25</v>
      </c>
      <c r="U387">
        <v>217</v>
      </c>
      <c r="V387" t="s">
        <v>20</v>
      </c>
      <c r="W387" t="s">
        <v>15</v>
      </c>
      <c r="X387">
        <v>110802.86</v>
      </c>
      <c r="Y387">
        <v>950</v>
      </c>
      <c r="Z387">
        <v>350</v>
      </c>
      <c r="AA387">
        <v>7200</v>
      </c>
      <c r="AB387" s="1">
        <v>15.389286111111099</v>
      </c>
      <c r="AC387" t="s">
        <v>48</v>
      </c>
    </row>
    <row r="388" spans="1:29">
      <c r="A388">
        <v>113</v>
      </c>
      <c r="B388" t="s">
        <v>9</v>
      </c>
      <c r="C388" t="s">
        <v>19</v>
      </c>
      <c r="D388" t="s">
        <v>24</v>
      </c>
      <c r="E388">
        <v>200</v>
      </c>
      <c r="F388">
        <v>2018</v>
      </c>
      <c r="G388" t="s">
        <v>14</v>
      </c>
      <c r="H388">
        <v>94965.15</v>
      </c>
      <c r="I388">
        <v>0</v>
      </c>
      <c r="J388">
        <v>79</v>
      </c>
      <c r="K388">
        <v>277</v>
      </c>
      <c r="L388" t="s">
        <v>40</v>
      </c>
      <c r="M388">
        <v>82</v>
      </c>
      <c r="N388" t="s">
        <v>9</v>
      </c>
      <c r="O388" t="s">
        <v>15</v>
      </c>
      <c r="P388" t="s">
        <v>11</v>
      </c>
      <c r="Q388">
        <v>180</v>
      </c>
      <c r="R388">
        <v>2021</v>
      </c>
      <c r="S388" t="s">
        <v>22</v>
      </c>
      <c r="T388">
        <v>108067.94</v>
      </c>
      <c r="U388">
        <v>79</v>
      </c>
      <c r="V388" t="s">
        <v>9</v>
      </c>
      <c r="W388" t="s">
        <v>23</v>
      </c>
      <c r="X388">
        <v>110904.15</v>
      </c>
      <c r="Y388">
        <v>975</v>
      </c>
      <c r="Z388">
        <v>400</v>
      </c>
      <c r="AA388">
        <v>6900</v>
      </c>
      <c r="AB388" s="1">
        <v>16.073065217391299</v>
      </c>
      <c r="AC388" t="s">
        <v>48</v>
      </c>
    </row>
    <row r="389" spans="1:29">
      <c r="A389">
        <v>264</v>
      </c>
      <c r="B389" t="s">
        <v>9</v>
      </c>
      <c r="C389" t="s">
        <v>17</v>
      </c>
      <c r="D389" t="s">
        <v>11</v>
      </c>
      <c r="E389">
        <v>130</v>
      </c>
      <c r="F389">
        <v>2020</v>
      </c>
      <c r="G389" t="s">
        <v>22</v>
      </c>
      <c r="H389">
        <v>102783.75</v>
      </c>
      <c r="I389">
        <v>0</v>
      </c>
      <c r="J389">
        <v>345</v>
      </c>
      <c r="K389">
        <v>119</v>
      </c>
      <c r="L389" t="s">
        <v>41</v>
      </c>
      <c r="M389">
        <v>62</v>
      </c>
      <c r="N389" t="s">
        <v>16</v>
      </c>
      <c r="O389" t="s">
        <v>10</v>
      </c>
      <c r="P389" t="s">
        <v>11</v>
      </c>
      <c r="Q389">
        <v>155</v>
      </c>
      <c r="R389">
        <v>2018</v>
      </c>
      <c r="S389" t="s">
        <v>12</v>
      </c>
      <c r="T389">
        <v>37741.599999999999</v>
      </c>
      <c r="U389">
        <v>345</v>
      </c>
      <c r="V389" t="s">
        <v>9</v>
      </c>
      <c r="W389" t="s">
        <v>10</v>
      </c>
      <c r="X389">
        <v>110974.8</v>
      </c>
      <c r="Y389">
        <v>975</v>
      </c>
      <c r="Z389">
        <v>450</v>
      </c>
      <c r="AA389">
        <v>6300</v>
      </c>
      <c r="AB389" s="1">
        <v>17.615047619047601</v>
      </c>
      <c r="AC389" t="s">
        <v>48</v>
      </c>
    </row>
    <row r="390" spans="1:29">
      <c r="A390">
        <v>139</v>
      </c>
      <c r="B390" t="s">
        <v>20</v>
      </c>
      <c r="C390" t="s">
        <v>23</v>
      </c>
      <c r="D390" t="s">
        <v>11</v>
      </c>
      <c r="E390">
        <v>155</v>
      </c>
      <c r="F390">
        <v>2019</v>
      </c>
      <c r="G390" t="s">
        <v>22</v>
      </c>
      <c r="H390">
        <v>85658.6</v>
      </c>
      <c r="I390">
        <v>0</v>
      </c>
      <c r="J390">
        <v>385</v>
      </c>
      <c r="K390">
        <v>338</v>
      </c>
      <c r="L390" t="s">
        <v>41</v>
      </c>
      <c r="M390">
        <v>58</v>
      </c>
      <c r="N390" t="s">
        <v>16</v>
      </c>
      <c r="O390" t="s">
        <v>17</v>
      </c>
      <c r="P390" t="s">
        <v>13</v>
      </c>
      <c r="Q390">
        <v>135</v>
      </c>
      <c r="R390">
        <v>2021</v>
      </c>
      <c r="S390" t="s">
        <v>18</v>
      </c>
      <c r="T390">
        <v>43828.800000000003</v>
      </c>
      <c r="U390">
        <v>385</v>
      </c>
      <c r="V390" t="s">
        <v>9</v>
      </c>
      <c r="W390" t="s">
        <v>10</v>
      </c>
      <c r="X390">
        <v>111139.2</v>
      </c>
      <c r="Y390">
        <v>950</v>
      </c>
      <c r="Z390">
        <v>300</v>
      </c>
      <c r="AA390">
        <v>7800</v>
      </c>
      <c r="AB390" s="1">
        <v>14.248615384615301</v>
      </c>
      <c r="AC390" t="s">
        <v>48</v>
      </c>
    </row>
    <row r="391" spans="1:29">
      <c r="A391">
        <v>204</v>
      </c>
      <c r="B391" t="s">
        <v>9</v>
      </c>
      <c r="C391" t="s">
        <v>10</v>
      </c>
      <c r="D391" t="s">
        <v>13</v>
      </c>
      <c r="E391">
        <v>230</v>
      </c>
      <c r="F391">
        <v>2019</v>
      </c>
      <c r="G391" t="s">
        <v>22</v>
      </c>
      <c r="H391">
        <v>106868.14</v>
      </c>
      <c r="I391">
        <v>0</v>
      </c>
      <c r="J391">
        <v>339</v>
      </c>
      <c r="K391">
        <v>74</v>
      </c>
      <c r="L391" t="s">
        <v>41</v>
      </c>
      <c r="M391">
        <v>62</v>
      </c>
      <c r="N391" t="s">
        <v>16</v>
      </c>
      <c r="O391" t="s">
        <v>23</v>
      </c>
      <c r="P391" t="s">
        <v>11</v>
      </c>
      <c r="Q391">
        <v>125</v>
      </c>
      <c r="R391">
        <v>2018</v>
      </c>
      <c r="S391" t="s">
        <v>18</v>
      </c>
      <c r="T391">
        <v>31138.639999999999</v>
      </c>
      <c r="U391">
        <v>339</v>
      </c>
      <c r="V391" t="s">
        <v>9</v>
      </c>
      <c r="W391" t="s">
        <v>15</v>
      </c>
      <c r="X391">
        <v>111172.8</v>
      </c>
      <c r="Y391">
        <v>950</v>
      </c>
      <c r="Z391">
        <v>375</v>
      </c>
      <c r="AA391">
        <v>6900</v>
      </c>
      <c r="AB391" s="1">
        <v>16.111999999999998</v>
      </c>
      <c r="AC391" t="s">
        <v>48</v>
      </c>
    </row>
    <row r="392" spans="1:29">
      <c r="A392">
        <v>327</v>
      </c>
      <c r="B392" t="s">
        <v>9</v>
      </c>
      <c r="C392" t="s">
        <v>15</v>
      </c>
      <c r="D392" t="s">
        <v>13</v>
      </c>
      <c r="E392">
        <v>175</v>
      </c>
      <c r="F392">
        <v>2021</v>
      </c>
      <c r="G392" t="s">
        <v>22</v>
      </c>
      <c r="H392">
        <v>103276.8</v>
      </c>
      <c r="I392">
        <v>0</v>
      </c>
      <c r="J392">
        <v>298</v>
      </c>
      <c r="K392">
        <v>156</v>
      </c>
      <c r="L392" t="s">
        <v>40</v>
      </c>
      <c r="M392">
        <v>65</v>
      </c>
      <c r="N392" t="s">
        <v>16</v>
      </c>
      <c r="O392" t="s">
        <v>23</v>
      </c>
      <c r="P392" t="s">
        <v>11</v>
      </c>
      <c r="Q392">
        <v>145</v>
      </c>
      <c r="R392">
        <v>2019</v>
      </c>
      <c r="S392" t="s">
        <v>18</v>
      </c>
      <c r="T392">
        <v>42020</v>
      </c>
      <c r="U392">
        <v>298</v>
      </c>
      <c r="V392" t="s">
        <v>9</v>
      </c>
      <c r="W392" t="s">
        <v>17</v>
      </c>
      <c r="X392">
        <v>111411.6</v>
      </c>
      <c r="Y392">
        <v>825</v>
      </c>
      <c r="Z392">
        <v>400</v>
      </c>
      <c r="AA392">
        <v>5100</v>
      </c>
      <c r="AB392" s="1">
        <v>21.845411764705801</v>
      </c>
      <c r="AC392" t="s">
        <v>48</v>
      </c>
    </row>
    <row r="393" spans="1:29">
      <c r="B393" t="s">
        <v>108</v>
      </c>
      <c r="C393" t="s">
        <v>108</v>
      </c>
      <c r="L393" t="s">
        <v>107</v>
      </c>
      <c r="U393">
        <v>492</v>
      </c>
      <c r="V393" t="s">
        <v>20</v>
      </c>
      <c r="W393" t="s">
        <v>15</v>
      </c>
      <c r="X393">
        <v>111505</v>
      </c>
      <c r="Y393">
        <v>875</v>
      </c>
      <c r="Z393">
        <v>375</v>
      </c>
      <c r="AA393">
        <v>6000</v>
      </c>
      <c r="AB393" s="1">
        <v>18.584166666666601</v>
      </c>
      <c r="AC393" t="s">
        <v>48</v>
      </c>
    </row>
    <row r="394" spans="1:29">
      <c r="A394">
        <v>206</v>
      </c>
      <c r="B394" t="s">
        <v>16</v>
      </c>
      <c r="C394" t="s">
        <v>17</v>
      </c>
      <c r="D394" t="s">
        <v>11</v>
      </c>
      <c r="E394">
        <v>165</v>
      </c>
      <c r="F394">
        <v>2019</v>
      </c>
      <c r="G394" t="s">
        <v>14</v>
      </c>
      <c r="H394">
        <v>21913.38</v>
      </c>
      <c r="I394">
        <v>0</v>
      </c>
      <c r="J394">
        <v>189</v>
      </c>
      <c r="K394">
        <v>427</v>
      </c>
      <c r="L394" t="s">
        <v>40</v>
      </c>
      <c r="M394">
        <v>72</v>
      </c>
      <c r="N394" t="s">
        <v>16</v>
      </c>
      <c r="O394" t="s">
        <v>23</v>
      </c>
      <c r="P394" t="s">
        <v>11</v>
      </c>
      <c r="Q394">
        <v>185</v>
      </c>
      <c r="R394">
        <v>2022</v>
      </c>
      <c r="S394" t="s">
        <v>14</v>
      </c>
      <c r="T394">
        <v>29895.15</v>
      </c>
      <c r="U394">
        <v>189</v>
      </c>
      <c r="V394" t="s">
        <v>9</v>
      </c>
      <c r="W394" t="s">
        <v>15</v>
      </c>
      <c r="X394">
        <v>112124.68</v>
      </c>
      <c r="Y394">
        <v>825</v>
      </c>
      <c r="Z394">
        <v>325</v>
      </c>
      <c r="AA394">
        <v>6000</v>
      </c>
      <c r="AB394" s="1">
        <v>18.687446666666599</v>
      </c>
      <c r="AC394" t="s">
        <v>48</v>
      </c>
    </row>
    <row r="395" spans="1:29">
      <c r="B395" t="s">
        <v>108</v>
      </c>
      <c r="C395" t="s">
        <v>108</v>
      </c>
      <c r="L395" t="s">
        <v>107</v>
      </c>
      <c r="U395">
        <v>484</v>
      </c>
      <c r="V395" t="s">
        <v>16</v>
      </c>
      <c r="W395" t="s">
        <v>19</v>
      </c>
      <c r="X395">
        <v>112375</v>
      </c>
      <c r="Y395">
        <v>1150</v>
      </c>
      <c r="Z395">
        <v>350</v>
      </c>
      <c r="AA395">
        <v>9600</v>
      </c>
      <c r="AB395" s="1">
        <v>11.7057291666666</v>
      </c>
      <c r="AC395" t="s">
        <v>48</v>
      </c>
    </row>
    <row r="396" spans="1:29">
      <c r="A396">
        <v>287</v>
      </c>
      <c r="B396" t="s">
        <v>9</v>
      </c>
      <c r="C396" t="s">
        <v>15</v>
      </c>
      <c r="D396" t="s">
        <v>11</v>
      </c>
      <c r="E396">
        <v>215</v>
      </c>
      <c r="F396">
        <v>2021</v>
      </c>
      <c r="G396" t="s">
        <v>14</v>
      </c>
      <c r="H396">
        <v>121669.2</v>
      </c>
      <c r="I396">
        <v>0</v>
      </c>
      <c r="J396">
        <v>200</v>
      </c>
      <c r="K396">
        <v>24</v>
      </c>
      <c r="L396" t="s">
        <v>40</v>
      </c>
      <c r="M396">
        <v>72</v>
      </c>
      <c r="N396" t="s">
        <v>9</v>
      </c>
      <c r="O396" t="s">
        <v>17</v>
      </c>
      <c r="P396" t="s">
        <v>11</v>
      </c>
      <c r="Q396">
        <v>120</v>
      </c>
      <c r="R396">
        <v>2017</v>
      </c>
      <c r="S396" t="s">
        <v>14</v>
      </c>
      <c r="T396">
        <v>97806</v>
      </c>
      <c r="U396">
        <v>200</v>
      </c>
      <c r="V396" t="s">
        <v>9</v>
      </c>
      <c r="W396" t="s">
        <v>15</v>
      </c>
      <c r="X396">
        <v>112470.6</v>
      </c>
      <c r="Y396">
        <v>875</v>
      </c>
      <c r="Z396">
        <v>400</v>
      </c>
      <c r="AA396">
        <v>5700</v>
      </c>
      <c r="AB396" s="1">
        <v>19.7316842105263</v>
      </c>
      <c r="AC396" t="s">
        <v>48</v>
      </c>
    </row>
    <row r="397" spans="1:29">
      <c r="A397">
        <v>313</v>
      </c>
      <c r="B397" t="s">
        <v>16</v>
      </c>
      <c r="C397" t="s">
        <v>17</v>
      </c>
      <c r="D397" t="s">
        <v>11</v>
      </c>
      <c r="E397">
        <v>140</v>
      </c>
      <c r="F397">
        <v>2021</v>
      </c>
      <c r="G397" t="s">
        <v>18</v>
      </c>
      <c r="H397">
        <v>30336</v>
      </c>
      <c r="I397">
        <v>0</v>
      </c>
      <c r="J397">
        <v>96</v>
      </c>
      <c r="K397">
        <v>304</v>
      </c>
      <c r="L397" t="s">
        <v>40</v>
      </c>
      <c r="M397">
        <v>80</v>
      </c>
      <c r="N397" t="s">
        <v>9</v>
      </c>
      <c r="O397" t="s">
        <v>19</v>
      </c>
      <c r="P397" t="s">
        <v>13</v>
      </c>
      <c r="Q397">
        <v>220</v>
      </c>
      <c r="R397">
        <v>2021</v>
      </c>
      <c r="S397" t="s">
        <v>12</v>
      </c>
      <c r="T397">
        <v>107226</v>
      </c>
      <c r="U397">
        <v>96</v>
      </c>
      <c r="V397" t="s">
        <v>9</v>
      </c>
      <c r="W397" t="s">
        <v>10</v>
      </c>
      <c r="X397">
        <v>112532.16</v>
      </c>
      <c r="Y397">
        <v>950</v>
      </c>
      <c r="Z397">
        <v>225</v>
      </c>
      <c r="AA397">
        <v>8700</v>
      </c>
      <c r="AB397" s="1">
        <v>12.9347310344827</v>
      </c>
      <c r="AC397" t="s">
        <v>48</v>
      </c>
    </row>
    <row r="398" spans="1:29">
      <c r="A398">
        <v>134</v>
      </c>
      <c r="B398" t="s">
        <v>9</v>
      </c>
      <c r="C398" t="s">
        <v>10</v>
      </c>
      <c r="D398" t="s">
        <v>13</v>
      </c>
      <c r="E398">
        <v>235</v>
      </c>
      <c r="F398">
        <v>2019</v>
      </c>
      <c r="G398" t="s">
        <v>18</v>
      </c>
      <c r="H398">
        <v>103370.04</v>
      </c>
      <c r="I398">
        <v>0</v>
      </c>
      <c r="J398">
        <v>334</v>
      </c>
      <c r="K398">
        <v>3</v>
      </c>
      <c r="L398" t="s">
        <v>41</v>
      </c>
      <c r="M398">
        <v>63</v>
      </c>
      <c r="N398" t="s">
        <v>9</v>
      </c>
      <c r="O398" t="s">
        <v>15</v>
      </c>
      <c r="P398" t="s">
        <v>13</v>
      </c>
      <c r="Q398">
        <v>110</v>
      </c>
      <c r="R398">
        <v>2017</v>
      </c>
      <c r="S398" t="s">
        <v>14</v>
      </c>
      <c r="T398">
        <v>104673</v>
      </c>
      <c r="U398">
        <v>334</v>
      </c>
      <c r="V398" t="s">
        <v>9</v>
      </c>
      <c r="W398" t="s">
        <v>19</v>
      </c>
      <c r="X398">
        <v>112645.2</v>
      </c>
      <c r="Y398">
        <v>875</v>
      </c>
      <c r="Z398">
        <v>375</v>
      </c>
      <c r="AA398">
        <v>6000</v>
      </c>
      <c r="AB398">
        <v>18.7742</v>
      </c>
      <c r="AC398" t="s">
        <v>48</v>
      </c>
    </row>
    <row r="399" spans="1:29">
      <c r="A399">
        <v>467</v>
      </c>
      <c r="B399" t="s">
        <v>16</v>
      </c>
      <c r="C399" t="s">
        <v>23</v>
      </c>
      <c r="D399" t="s">
        <v>13</v>
      </c>
      <c r="E399">
        <v>95</v>
      </c>
      <c r="F399">
        <v>2022</v>
      </c>
      <c r="G399" t="s">
        <v>12</v>
      </c>
      <c r="H399">
        <v>47280</v>
      </c>
      <c r="I399">
        <v>0</v>
      </c>
      <c r="J399">
        <v>165</v>
      </c>
      <c r="K399">
        <v>444</v>
      </c>
      <c r="L399" t="s">
        <v>40</v>
      </c>
      <c r="M399">
        <v>75</v>
      </c>
      <c r="N399" t="s">
        <v>16</v>
      </c>
      <c r="O399" t="s">
        <v>10</v>
      </c>
      <c r="P399" t="s">
        <v>11</v>
      </c>
      <c r="Q399">
        <v>235</v>
      </c>
      <c r="R399">
        <v>2022</v>
      </c>
      <c r="S399" t="s">
        <v>14</v>
      </c>
      <c r="T399">
        <v>47862.99</v>
      </c>
      <c r="U399">
        <v>165</v>
      </c>
      <c r="V399" t="s">
        <v>9</v>
      </c>
      <c r="W399" t="s">
        <v>15</v>
      </c>
      <c r="X399">
        <v>112656.96000000001</v>
      </c>
      <c r="Y399">
        <v>975</v>
      </c>
      <c r="Z399">
        <v>275</v>
      </c>
      <c r="AA399">
        <v>8400</v>
      </c>
      <c r="AB399" s="1">
        <v>13.4115428571428</v>
      </c>
      <c r="AC399" t="s">
        <v>48</v>
      </c>
    </row>
    <row r="400" spans="1:29">
      <c r="A400">
        <v>201</v>
      </c>
      <c r="B400" t="s">
        <v>9</v>
      </c>
      <c r="C400" t="s">
        <v>23</v>
      </c>
      <c r="D400" t="s">
        <v>11</v>
      </c>
      <c r="E400">
        <v>170</v>
      </c>
      <c r="F400">
        <v>2019</v>
      </c>
      <c r="G400" t="s">
        <v>18</v>
      </c>
      <c r="H400">
        <v>90472.06</v>
      </c>
      <c r="I400">
        <v>0</v>
      </c>
      <c r="J400">
        <v>188</v>
      </c>
      <c r="K400">
        <v>147</v>
      </c>
      <c r="L400" t="s">
        <v>40</v>
      </c>
      <c r="M400">
        <v>72</v>
      </c>
      <c r="N400" t="s">
        <v>16</v>
      </c>
      <c r="O400" t="s">
        <v>23</v>
      </c>
      <c r="P400" t="s">
        <v>11</v>
      </c>
      <c r="Q400">
        <v>205</v>
      </c>
      <c r="R400">
        <v>2019</v>
      </c>
      <c r="S400" t="s">
        <v>12</v>
      </c>
      <c r="T400">
        <v>28147.9</v>
      </c>
      <c r="U400">
        <v>188</v>
      </c>
      <c r="V400" t="s">
        <v>9</v>
      </c>
      <c r="W400" t="s">
        <v>10</v>
      </c>
      <c r="X400">
        <v>112683.3</v>
      </c>
      <c r="Y400">
        <v>975</v>
      </c>
      <c r="Z400">
        <v>350</v>
      </c>
      <c r="AA400">
        <v>7500</v>
      </c>
      <c r="AB400">
        <v>15.02444</v>
      </c>
      <c r="AC400" t="s">
        <v>48</v>
      </c>
    </row>
    <row r="401" spans="1:29">
      <c r="A401">
        <v>10</v>
      </c>
      <c r="B401" t="s">
        <v>9</v>
      </c>
      <c r="C401" t="s">
        <v>19</v>
      </c>
      <c r="D401" t="s">
        <v>11</v>
      </c>
      <c r="E401">
        <v>140</v>
      </c>
      <c r="F401">
        <v>2017</v>
      </c>
      <c r="G401" t="s">
        <v>22</v>
      </c>
      <c r="H401">
        <v>96442</v>
      </c>
      <c r="I401">
        <v>0</v>
      </c>
      <c r="J401">
        <v>372</v>
      </c>
      <c r="K401">
        <v>482</v>
      </c>
      <c r="L401" t="s">
        <v>41</v>
      </c>
      <c r="M401">
        <v>59</v>
      </c>
      <c r="N401" t="s">
        <v>16</v>
      </c>
      <c r="O401" t="s">
        <v>17</v>
      </c>
      <c r="P401" t="s">
        <v>11</v>
      </c>
      <c r="Q401">
        <v>110</v>
      </c>
      <c r="R401">
        <v>2022</v>
      </c>
      <c r="S401" t="s">
        <v>12</v>
      </c>
      <c r="T401">
        <v>32543.75</v>
      </c>
      <c r="U401">
        <v>372</v>
      </c>
      <c r="V401" t="s">
        <v>20</v>
      </c>
      <c r="W401" t="s">
        <v>15</v>
      </c>
      <c r="X401">
        <v>112762.8</v>
      </c>
      <c r="Y401">
        <v>950</v>
      </c>
      <c r="Z401">
        <v>350</v>
      </c>
      <c r="AA401">
        <v>7200</v>
      </c>
      <c r="AB401">
        <v>15.6615</v>
      </c>
      <c r="AC401" t="s">
        <v>48</v>
      </c>
    </row>
    <row r="402" spans="1:29">
      <c r="A402">
        <v>16</v>
      </c>
      <c r="B402" t="s">
        <v>16</v>
      </c>
      <c r="C402" t="s">
        <v>17</v>
      </c>
      <c r="D402" t="s">
        <v>11</v>
      </c>
      <c r="E402">
        <v>210</v>
      </c>
      <c r="F402">
        <v>2017</v>
      </c>
      <c r="G402" t="s">
        <v>14</v>
      </c>
      <c r="H402">
        <v>23964</v>
      </c>
      <c r="I402">
        <v>0</v>
      </c>
      <c r="J402">
        <v>168</v>
      </c>
      <c r="K402">
        <v>155</v>
      </c>
      <c r="L402" t="s">
        <v>40</v>
      </c>
      <c r="M402">
        <v>75</v>
      </c>
      <c r="N402" t="s">
        <v>9</v>
      </c>
      <c r="O402" t="s">
        <v>10</v>
      </c>
      <c r="P402" t="s">
        <v>13</v>
      </c>
      <c r="Q402">
        <v>125</v>
      </c>
      <c r="R402">
        <v>2019</v>
      </c>
      <c r="S402" t="s">
        <v>22</v>
      </c>
      <c r="T402">
        <v>103926.64</v>
      </c>
      <c r="U402">
        <v>168</v>
      </c>
      <c r="V402" t="s">
        <v>9</v>
      </c>
      <c r="W402" t="s">
        <v>19</v>
      </c>
      <c r="X402">
        <v>113217.54</v>
      </c>
      <c r="Y402">
        <v>975</v>
      </c>
      <c r="Z402">
        <v>275</v>
      </c>
      <c r="AA402">
        <v>8400</v>
      </c>
      <c r="AB402" s="1">
        <v>13.4782785714285</v>
      </c>
      <c r="AC402" t="s">
        <v>48</v>
      </c>
    </row>
    <row r="403" spans="1:29">
      <c r="B403" t="s">
        <v>108</v>
      </c>
      <c r="C403" t="s">
        <v>108</v>
      </c>
      <c r="L403" t="s">
        <v>107</v>
      </c>
      <c r="U403">
        <v>489</v>
      </c>
      <c r="V403" t="s">
        <v>9</v>
      </c>
      <c r="W403" t="s">
        <v>17</v>
      </c>
      <c r="X403">
        <v>113731.25</v>
      </c>
      <c r="Y403">
        <v>975</v>
      </c>
      <c r="Z403">
        <v>350</v>
      </c>
      <c r="AA403">
        <v>7500</v>
      </c>
      <c r="AB403" s="1">
        <v>15.164166666666601</v>
      </c>
      <c r="AC403" t="s">
        <v>48</v>
      </c>
    </row>
    <row r="404" spans="1:29">
      <c r="B404" t="s">
        <v>108</v>
      </c>
      <c r="C404" t="s">
        <v>108</v>
      </c>
      <c r="L404" t="s">
        <v>107</v>
      </c>
      <c r="U404">
        <v>477</v>
      </c>
      <c r="V404" t="s">
        <v>9</v>
      </c>
      <c r="W404" t="s">
        <v>19</v>
      </c>
      <c r="X404">
        <v>113855</v>
      </c>
      <c r="Y404">
        <v>875</v>
      </c>
      <c r="Z404">
        <v>400</v>
      </c>
      <c r="AA404">
        <v>5700</v>
      </c>
      <c r="AB404" s="1">
        <v>19.974561403508702</v>
      </c>
      <c r="AC404" t="s">
        <v>48</v>
      </c>
    </row>
    <row r="405" spans="1:29">
      <c r="A405">
        <v>174</v>
      </c>
      <c r="B405" t="s">
        <v>9</v>
      </c>
      <c r="C405" t="s">
        <v>10</v>
      </c>
      <c r="D405" t="s">
        <v>13</v>
      </c>
      <c r="E405">
        <v>160</v>
      </c>
      <c r="F405">
        <v>2019</v>
      </c>
      <c r="G405" t="s">
        <v>22</v>
      </c>
      <c r="H405">
        <v>116846.28</v>
      </c>
      <c r="I405">
        <v>0</v>
      </c>
      <c r="J405">
        <v>388</v>
      </c>
      <c r="K405">
        <v>194</v>
      </c>
      <c r="L405" t="s">
        <v>41</v>
      </c>
      <c r="M405">
        <v>57</v>
      </c>
      <c r="N405" t="s">
        <v>16</v>
      </c>
      <c r="O405" t="s">
        <v>19</v>
      </c>
      <c r="P405" t="s">
        <v>24</v>
      </c>
      <c r="Q405">
        <v>195</v>
      </c>
      <c r="R405">
        <v>2019</v>
      </c>
      <c r="S405" t="s">
        <v>14</v>
      </c>
      <c r="T405">
        <v>36980.28</v>
      </c>
      <c r="U405">
        <v>388</v>
      </c>
      <c r="V405" t="s">
        <v>9</v>
      </c>
      <c r="W405" t="s">
        <v>23</v>
      </c>
      <c r="X405">
        <v>113912.4</v>
      </c>
      <c r="Y405">
        <v>825</v>
      </c>
      <c r="Z405">
        <v>200</v>
      </c>
      <c r="AA405">
        <v>7500</v>
      </c>
      <c r="AB405">
        <v>15.188319999999999</v>
      </c>
      <c r="AC405" t="s">
        <v>48</v>
      </c>
    </row>
    <row r="406" spans="1:29">
      <c r="B406" t="s">
        <v>108</v>
      </c>
      <c r="C406" t="s">
        <v>108</v>
      </c>
      <c r="L406" t="s">
        <v>107</v>
      </c>
      <c r="U406">
        <v>486</v>
      </c>
      <c r="V406" t="s">
        <v>20</v>
      </c>
      <c r="W406" t="s">
        <v>23</v>
      </c>
      <c r="X406">
        <v>113963.75</v>
      </c>
      <c r="Y406">
        <v>975</v>
      </c>
      <c r="Z406">
        <v>325</v>
      </c>
      <c r="AA406">
        <v>7800</v>
      </c>
      <c r="AB406" s="1">
        <v>14.610737179487099</v>
      </c>
      <c r="AC406" t="s">
        <v>48</v>
      </c>
    </row>
    <row r="407" spans="1:29">
      <c r="A407">
        <v>370</v>
      </c>
      <c r="B407" t="s">
        <v>16</v>
      </c>
      <c r="C407" t="s">
        <v>19</v>
      </c>
      <c r="D407" t="s">
        <v>11</v>
      </c>
      <c r="E407">
        <v>160</v>
      </c>
      <c r="F407">
        <v>2021</v>
      </c>
      <c r="G407" t="s">
        <v>18</v>
      </c>
      <c r="H407">
        <v>33554.400000000001</v>
      </c>
      <c r="I407">
        <v>0</v>
      </c>
      <c r="J407">
        <v>307</v>
      </c>
      <c r="K407">
        <v>39</v>
      </c>
      <c r="L407" t="s">
        <v>41</v>
      </c>
      <c r="M407">
        <v>64</v>
      </c>
      <c r="N407" t="s">
        <v>16</v>
      </c>
      <c r="O407" t="s">
        <v>19</v>
      </c>
      <c r="P407" t="s">
        <v>11</v>
      </c>
      <c r="Q407">
        <v>235</v>
      </c>
      <c r="R407">
        <v>2018</v>
      </c>
      <c r="S407" t="s">
        <v>14</v>
      </c>
      <c r="T407">
        <v>27865.95</v>
      </c>
      <c r="U407">
        <v>307</v>
      </c>
      <c r="V407" t="s">
        <v>9</v>
      </c>
      <c r="W407" t="s">
        <v>10</v>
      </c>
      <c r="X407">
        <v>114187.2</v>
      </c>
      <c r="Y407">
        <v>975</v>
      </c>
      <c r="Z407">
        <v>225</v>
      </c>
      <c r="AA407">
        <v>9000</v>
      </c>
      <c r="AB407" s="1">
        <v>12.6874666666666</v>
      </c>
      <c r="AC407" t="s">
        <v>48</v>
      </c>
    </row>
    <row r="408" spans="1:29">
      <c r="A408">
        <v>117</v>
      </c>
      <c r="B408" t="s">
        <v>16</v>
      </c>
      <c r="C408" t="s">
        <v>19</v>
      </c>
      <c r="D408" t="s">
        <v>11</v>
      </c>
      <c r="E408">
        <v>210</v>
      </c>
      <c r="F408">
        <v>2018</v>
      </c>
      <c r="G408" t="s">
        <v>18</v>
      </c>
      <c r="H408">
        <v>35308.35</v>
      </c>
      <c r="I408">
        <v>0</v>
      </c>
      <c r="J408">
        <v>380</v>
      </c>
      <c r="K408">
        <v>391</v>
      </c>
      <c r="L408" t="s">
        <v>41</v>
      </c>
      <c r="M408">
        <v>58</v>
      </c>
      <c r="N408" t="s">
        <v>16</v>
      </c>
      <c r="O408" t="s">
        <v>19</v>
      </c>
      <c r="P408" t="s">
        <v>13</v>
      </c>
      <c r="Q408">
        <v>120</v>
      </c>
      <c r="R408">
        <v>2021</v>
      </c>
      <c r="S408" t="s">
        <v>12</v>
      </c>
      <c r="T408">
        <v>29400</v>
      </c>
      <c r="U408">
        <v>380</v>
      </c>
      <c r="V408" t="s">
        <v>20</v>
      </c>
      <c r="W408" t="s">
        <v>15</v>
      </c>
      <c r="X408">
        <v>114583.2</v>
      </c>
      <c r="Y408">
        <v>975</v>
      </c>
      <c r="Z408">
        <v>700</v>
      </c>
      <c r="AA408">
        <v>3300</v>
      </c>
      <c r="AB408" s="1">
        <v>34.722181818181802</v>
      </c>
      <c r="AC408" t="s">
        <v>48</v>
      </c>
    </row>
    <row r="409" spans="1:29">
      <c r="A409">
        <v>336</v>
      </c>
      <c r="B409" t="s">
        <v>16</v>
      </c>
      <c r="C409" t="s">
        <v>19</v>
      </c>
      <c r="D409" t="s">
        <v>11</v>
      </c>
      <c r="E409">
        <v>225</v>
      </c>
      <c r="F409">
        <v>2021</v>
      </c>
      <c r="G409" t="s">
        <v>14</v>
      </c>
      <c r="H409">
        <v>38684.400000000001</v>
      </c>
      <c r="I409">
        <v>0</v>
      </c>
      <c r="J409">
        <v>41</v>
      </c>
      <c r="K409">
        <v>335</v>
      </c>
      <c r="L409" t="s">
        <v>40</v>
      </c>
      <c r="M409">
        <v>87</v>
      </c>
      <c r="N409" t="s">
        <v>9</v>
      </c>
      <c r="O409" t="s">
        <v>23</v>
      </c>
      <c r="P409" t="s">
        <v>11</v>
      </c>
      <c r="Q409">
        <v>190</v>
      </c>
      <c r="R409">
        <v>2021</v>
      </c>
      <c r="S409" t="s">
        <v>18</v>
      </c>
      <c r="T409">
        <v>128043.6</v>
      </c>
      <c r="U409">
        <v>41</v>
      </c>
      <c r="V409" t="s">
        <v>20</v>
      </c>
      <c r="W409" t="s">
        <v>23</v>
      </c>
      <c r="X409">
        <v>114636.9</v>
      </c>
      <c r="Y409">
        <v>950</v>
      </c>
      <c r="Z409">
        <v>350</v>
      </c>
      <c r="AA409">
        <v>7200</v>
      </c>
      <c r="AB409" s="1">
        <v>15.9217916666666</v>
      </c>
      <c r="AC409" t="s">
        <v>48</v>
      </c>
    </row>
    <row r="410" spans="1:29">
      <c r="A410">
        <v>105</v>
      </c>
      <c r="B410" t="s">
        <v>16</v>
      </c>
      <c r="C410" t="s">
        <v>17</v>
      </c>
      <c r="D410" t="s">
        <v>11</v>
      </c>
      <c r="E410">
        <v>160</v>
      </c>
      <c r="F410">
        <v>2018</v>
      </c>
      <c r="G410" t="s">
        <v>18</v>
      </c>
      <c r="H410">
        <v>33072.9</v>
      </c>
      <c r="I410">
        <v>0</v>
      </c>
      <c r="J410">
        <v>226</v>
      </c>
      <c r="K410">
        <v>356</v>
      </c>
      <c r="L410" t="s">
        <v>40</v>
      </c>
      <c r="M410">
        <v>70</v>
      </c>
      <c r="N410" t="s">
        <v>16</v>
      </c>
      <c r="O410" t="s">
        <v>23</v>
      </c>
      <c r="P410" t="s">
        <v>13</v>
      </c>
      <c r="Q410">
        <v>240</v>
      </c>
      <c r="R410">
        <v>2021</v>
      </c>
      <c r="S410" t="s">
        <v>12</v>
      </c>
      <c r="T410">
        <v>38506.800000000003</v>
      </c>
      <c r="U410">
        <v>226</v>
      </c>
      <c r="V410" t="s">
        <v>9</v>
      </c>
      <c r="W410" t="s">
        <v>23</v>
      </c>
      <c r="X410">
        <v>114874.32</v>
      </c>
      <c r="Y410">
        <v>875</v>
      </c>
      <c r="Z410">
        <v>150</v>
      </c>
      <c r="AA410">
        <v>8700</v>
      </c>
      <c r="AB410" s="1">
        <v>13.2039448275862</v>
      </c>
      <c r="AC410" t="s">
        <v>48</v>
      </c>
    </row>
    <row r="411" spans="1:29">
      <c r="A411">
        <v>188</v>
      </c>
      <c r="B411" t="s">
        <v>9</v>
      </c>
      <c r="C411" t="s">
        <v>10</v>
      </c>
      <c r="D411" t="s">
        <v>13</v>
      </c>
      <c r="E411">
        <v>125</v>
      </c>
      <c r="F411">
        <v>2019</v>
      </c>
      <c r="G411" t="s">
        <v>22</v>
      </c>
      <c r="H411">
        <v>112683.3</v>
      </c>
      <c r="I411">
        <v>0</v>
      </c>
      <c r="J411">
        <v>282</v>
      </c>
      <c r="K411">
        <v>37</v>
      </c>
      <c r="L411" t="s">
        <v>40</v>
      </c>
      <c r="M411">
        <v>67</v>
      </c>
      <c r="N411" t="s">
        <v>9</v>
      </c>
      <c r="O411" t="s">
        <v>17</v>
      </c>
      <c r="P411" t="s">
        <v>13</v>
      </c>
      <c r="Q411">
        <v>130</v>
      </c>
      <c r="R411">
        <v>2017</v>
      </c>
      <c r="S411" t="s">
        <v>22</v>
      </c>
      <c r="T411">
        <v>82096</v>
      </c>
      <c r="U411">
        <v>282</v>
      </c>
      <c r="V411" t="s">
        <v>9</v>
      </c>
      <c r="W411" t="s">
        <v>17</v>
      </c>
      <c r="X411">
        <v>114954.42</v>
      </c>
      <c r="Y411">
        <v>950</v>
      </c>
      <c r="AA411">
        <v>11400</v>
      </c>
      <c r="AB411" s="1">
        <v>10.0837210526315</v>
      </c>
      <c r="AC411" t="s">
        <v>48</v>
      </c>
    </row>
    <row r="412" spans="1:29">
      <c r="A412">
        <v>37</v>
      </c>
      <c r="B412" t="s">
        <v>9</v>
      </c>
      <c r="C412" t="s">
        <v>17</v>
      </c>
      <c r="D412" t="s">
        <v>13</v>
      </c>
      <c r="E412">
        <v>130</v>
      </c>
      <c r="F412">
        <v>2017</v>
      </c>
      <c r="G412" t="s">
        <v>22</v>
      </c>
      <c r="H412">
        <v>82096</v>
      </c>
      <c r="I412">
        <v>0</v>
      </c>
      <c r="J412">
        <v>268</v>
      </c>
      <c r="K412">
        <v>468</v>
      </c>
      <c r="L412" t="s">
        <v>40</v>
      </c>
      <c r="M412">
        <v>67</v>
      </c>
      <c r="N412" t="s">
        <v>16</v>
      </c>
      <c r="O412" t="s">
        <v>23</v>
      </c>
      <c r="P412" t="s">
        <v>13</v>
      </c>
      <c r="Q412">
        <v>160</v>
      </c>
      <c r="R412">
        <v>2022</v>
      </c>
      <c r="S412" t="s">
        <v>18</v>
      </c>
      <c r="T412">
        <v>36393.75</v>
      </c>
      <c r="U412">
        <v>268</v>
      </c>
      <c r="V412" t="s">
        <v>9</v>
      </c>
      <c r="W412" t="s">
        <v>17</v>
      </c>
      <c r="X412">
        <v>115236.25</v>
      </c>
      <c r="Y412">
        <v>950</v>
      </c>
      <c r="Z412">
        <v>150</v>
      </c>
      <c r="AA412">
        <v>9600</v>
      </c>
      <c r="AB412" s="1">
        <v>12.003776041666599</v>
      </c>
      <c r="AC412" t="s">
        <v>48</v>
      </c>
    </row>
    <row r="413" spans="1:29">
      <c r="A413">
        <v>263</v>
      </c>
      <c r="B413" t="s">
        <v>16</v>
      </c>
      <c r="C413" t="s">
        <v>17</v>
      </c>
      <c r="D413" t="s">
        <v>13</v>
      </c>
      <c r="E413">
        <v>245</v>
      </c>
      <c r="F413">
        <v>2020</v>
      </c>
      <c r="G413" t="s">
        <v>14</v>
      </c>
      <c r="H413">
        <v>37775</v>
      </c>
      <c r="I413">
        <v>0</v>
      </c>
      <c r="J413">
        <v>197</v>
      </c>
      <c r="K413">
        <v>135</v>
      </c>
      <c r="L413" t="s">
        <v>40</v>
      </c>
      <c r="M413">
        <v>72</v>
      </c>
      <c r="N413" t="s">
        <v>16</v>
      </c>
      <c r="O413" t="s">
        <v>23</v>
      </c>
      <c r="P413" t="s">
        <v>11</v>
      </c>
      <c r="Q413">
        <v>200</v>
      </c>
      <c r="R413">
        <v>2019</v>
      </c>
      <c r="S413" t="s">
        <v>18</v>
      </c>
      <c r="T413">
        <v>42961.32</v>
      </c>
      <c r="U413">
        <v>197</v>
      </c>
      <c r="V413" t="s">
        <v>9</v>
      </c>
      <c r="W413" t="s">
        <v>15</v>
      </c>
      <c r="X413">
        <v>115262.28</v>
      </c>
      <c r="Y413">
        <v>875</v>
      </c>
      <c r="Z413">
        <v>250</v>
      </c>
      <c r="AA413">
        <v>7500</v>
      </c>
      <c r="AB413">
        <v>15.368304</v>
      </c>
      <c r="AC413" t="s">
        <v>48</v>
      </c>
    </row>
    <row r="414" spans="1:29">
      <c r="A414">
        <v>71</v>
      </c>
      <c r="B414" t="s">
        <v>9</v>
      </c>
      <c r="C414" t="s">
        <v>23</v>
      </c>
      <c r="D414" t="s">
        <v>13</v>
      </c>
      <c r="E414">
        <v>205</v>
      </c>
      <c r="F414">
        <v>2018</v>
      </c>
      <c r="G414" t="s">
        <v>14</v>
      </c>
      <c r="H414">
        <v>85768.1</v>
      </c>
      <c r="I414">
        <v>0</v>
      </c>
      <c r="J414">
        <v>172</v>
      </c>
      <c r="K414">
        <v>164</v>
      </c>
      <c r="L414" t="s">
        <v>40</v>
      </c>
      <c r="M414">
        <v>74</v>
      </c>
      <c r="N414" t="s">
        <v>9</v>
      </c>
      <c r="O414" t="s">
        <v>19</v>
      </c>
      <c r="P414" t="s">
        <v>13</v>
      </c>
      <c r="Q414">
        <v>185</v>
      </c>
      <c r="R414">
        <v>2019</v>
      </c>
      <c r="S414" t="s">
        <v>22</v>
      </c>
      <c r="T414">
        <v>94298.66</v>
      </c>
      <c r="U414">
        <v>172</v>
      </c>
      <c r="V414" t="s">
        <v>9</v>
      </c>
      <c r="W414" t="s">
        <v>10</v>
      </c>
      <c r="X414">
        <v>115790.16</v>
      </c>
      <c r="Y414">
        <v>975</v>
      </c>
      <c r="Z414">
        <v>225</v>
      </c>
      <c r="AA414">
        <v>9000</v>
      </c>
      <c r="AB414" s="1">
        <v>12.8655733333333</v>
      </c>
      <c r="AC414" t="s">
        <v>48</v>
      </c>
    </row>
    <row r="415" spans="1:29">
      <c r="A415">
        <v>386</v>
      </c>
      <c r="B415" t="s">
        <v>16</v>
      </c>
      <c r="C415" t="s">
        <v>19</v>
      </c>
      <c r="D415" t="s">
        <v>11</v>
      </c>
      <c r="E415">
        <v>245</v>
      </c>
      <c r="F415">
        <v>2021</v>
      </c>
      <c r="G415" t="s">
        <v>12</v>
      </c>
      <c r="H415" s="1" t="s">
        <v>34</v>
      </c>
      <c r="I415">
        <v>0</v>
      </c>
      <c r="J415">
        <v>207</v>
      </c>
      <c r="K415">
        <v>70</v>
      </c>
      <c r="L415" t="s">
        <v>40</v>
      </c>
      <c r="M415">
        <v>71</v>
      </c>
      <c r="N415" t="s">
        <v>9</v>
      </c>
      <c r="O415" t="s">
        <v>19</v>
      </c>
      <c r="P415" t="s">
        <v>13</v>
      </c>
      <c r="Q415">
        <v>170</v>
      </c>
      <c r="R415">
        <v>2018</v>
      </c>
      <c r="S415" t="s">
        <v>18</v>
      </c>
      <c r="T415">
        <v>90702.83</v>
      </c>
      <c r="U415">
        <v>207</v>
      </c>
      <c r="V415" t="s">
        <v>9</v>
      </c>
      <c r="W415" t="s">
        <v>17</v>
      </c>
      <c r="X415">
        <v>115989.5</v>
      </c>
      <c r="Y415">
        <v>825</v>
      </c>
      <c r="Z415">
        <v>300</v>
      </c>
      <c r="AA415">
        <v>6300</v>
      </c>
      <c r="AB415" s="1">
        <v>18.4110317460317</v>
      </c>
      <c r="AC415" t="s">
        <v>48</v>
      </c>
    </row>
    <row r="416" spans="1:29">
      <c r="A416">
        <v>121</v>
      </c>
      <c r="B416" t="s">
        <v>16</v>
      </c>
      <c r="C416" t="s">
        <v>17</v>
      </c>
      <c r="D416" t="s">
        <v>11</v>
      </c>
      <c r="E416">
        <v>115</v>
      </c>
      <c r="F416">
        <v>2019</v>
      </c>
      <c r="G416" t="s">
        <v>18</v>
      </c>
      <c r="H416">
        <v>37370.300000000003</v>
      </c>
      <c r="I416">
        <v>0</v>
      </c>
      <c r="J416">
        <v>131</v>
      </c>
      <c r="K416">
        <v>450</v>
      </c>
      <c r="L416" t="s">
        <v>40</v>
      </c>
      <c r="M416">
        <v>78</v>
      </c>
      <c r="N416" t="s">
        <v>9</v>
      </c>
      <c r="O416" t="s">
        <v>23</v>
      </c>
      <c r="P416" t="s">
        <v>13</v>
      </c>
      <c r="Q416">
        <v>145</v>
      </c>
      <c r="R416">
        <v>2022</v>
      </c>
      <c r="S416" t="s">
        <v>12</v>
      </c>
      <c r="T416">
        <v>100376.61</v>
      </c>
      <c r="U416">
        <v>131</v>
      </c>
      <c r="V416" t="s">
        <v>9</v>
      </c>
      <c r="W416" t="s">
        <v>23</v>
      </c>
      <c r="X416">
        <v>116247.96</v>
      </c>
      <c r="Y416">
        <v>825</v>
      </c>
      <c r="Z416">
        <v>350</v>
      </c>
      <c r="AA416">
        <v>5700</v>
      </c>
      <c r="AB416" s="1">
        <v>20.394378947368399</v>
      </c>
      <c r="AC416" t="s">
        <v>48</v>
      </c>
    </row>
    <row r="417" spans="1:29">
      <c r="A417">
        <v>325</v>
      </c>
      <c r="B417" t="s">
        <v>9</v>
      </c>
      <c r="C417" t="s">
        <v>19</v>
      </c>
      <c r="D417" t="s">
        <v>11</v>
      </c>
      <c r="E417">
        <v>190</v>
      </c>
      <c r="F417">
        <v>2021</v>
      </c>
      <c r="G417" t="s">
        <v>22</v>
      </c>
      <c r="H417">
        <v>97430.399999999994</v>
      </c>
      <c r="I417">
        <v>0</v>
      </c>
      <c r="J417">
        <v>252</v>
      </c>
      <c r="K417">
        <v>481</v>
      </c>
      <c r="L417" t="s">
        <v>40</v>
      </c>
      <c r="M417">
        <v>68</v>
      </c>
      <c r="N417" t="s">
        <v>16</v>
      </c>
      <c r="O417" t="s">
        <v>23</v>
      </c>
      <c r="P417" t="s">
        <v>11</v>
      </c>
      <c r="Q417">
        <v>135</v>
      </c>
      <c r="R417">
        <v>2022</v>
      </c>
      <c r="S417" t="s">
        <v>14</v>
      </c>
      <c r="T417">
        <v>43270</v>
      </c>
      <c r="U417">
        <v>252</v>
      </c>
      <c r="V417" t="s">
        <v>20</v>
      </c>
      <c r="W417" t="s">
        <v>15</v>
      </c>
      <c r="X417">
        <v>116251.26</v>
      </c>
      <c r="Y417">
        <v>975</v>
      </c>
      <c r="Z417">
        <v>350</v>
      </c>
      <c r="AA417">
        <v>7500</v>
      </c>
      <c r="AB417">
        <v>15.500168</v>
      </c>
      <c r="AC417" t="s">
        <v>48</v>
      </c>
    </row>
    <row r="418" spans="1:29">
      <c r="A418">
        <v>72</v>
      </c>
      <c r="B418" t="s">
        <v>9</v>
      </c>
      <c r="C418" t="s">
        <v>17</v>
      </c>
      <c r="D418" t="s">
        <v>11</v>
      </c>
      <c r="E418">
        <v>190</v>
      </c>
      <c r="F418">
        <v>2018</v>
      </c>
      <c r="G418" t="s">
        <v>14</v>
      </c>
      <c r="H418">
        <v>94441.36</v>
      </c>
      <c r="I418">
        <v>0</v>
      </c>
      <c r="J418">
        <v>173</v>
      </c>
      <c r="K418">
        <v>332</v>
      </c>
      <c r="L418" t="s">
        <v>40</v>
      </c>
      <c r="M418">
        <v>74</v>
      </c>
      <c r="N418" t="s">
        <v>9</v>
      </c>
      <c r="O418" t="s">
        <v>15</v>
      </c>
      <c r="P418" t="s">
        <v>11</v>
      </c>
      <c r="Q418">
        <v>115</v>
      </c>
      <c r="R418">
        <v>2021</v>
      </c>
      <c r="S418" t="s">
        <v>14</v>
      </c>
      <c r="T418">
        <v>97030.8</v>
      </c>
      <c r="U418">
        <v>173</v>
      </c>
      <c r="V418" t="s">
        <v>20</v>
      </c>
      <c r="W418" t="s">
        <v>19</v>
      </c>
      <c r="X418">
        <v>116568.2</v>
      </c>
      <c r="Y418">
        <v>975</v>
      </c>
      <c r="Z418">
        <v>700</v>
      </c>
      <c r="AA418">
        <v>3300</v>
      </c>
      <c r="AB418" s="1">
        <v>35.323696969696897</v>
      </c>
      <c r="AC418" t="s">
        <v>48</v>
      </c>
    </row>
    <row r="419" spans="1:29">
      <c r="B419" t="s">
        <v>108</v>
      </c>
      <c r="C419" t="s">
        <v>108</v>
      </c>
      <c r="L419" t="s">
        <v>107</v>
      </c>
      <c r="U419">
        <v>436</v>
      </c>
      <c r="V419" t="s">
        <v>9</v>
      </c>
      <c r="W419" t="s">
        <v>10</v>
      </c>
      <c r="X419">
        <v>116604</v>
      </c>
      <c r="Y419">
        <v>975</v>
      </c>
      <c r="Z419">
        <v>325</v>
      </c>
      <c r="AA419">
        <v>7800</v>
      </c>
      <c r="AB419" s="1">
        <v>14.9492307692307</v>
      </c>
      <c r="AC419" t="s">
        <v>48</v>
      </c>
    </row>
    <row r="420" spans="1:29">
      <c r="A420">
        <v>403</v>
      </c>
      <c r="B420" t="s">
        <v>20</v>
      </c>
      <c r="C420" t="s">
        <v>10</v>
      </c>
      <c r="D420" t="s">
        <v>11</v>
      </c>
      <c r="E420">
        <v>175</v>
      </c>
      <c r="F420">
        <v>2021</v>
      </c>
      <c r="G420" t="s">
        <v>14</v>
      </c>
      <c r="H420">
        <v>104416.8</v>
      </c>
      <c r="I420">
        <v>0</v>
      </c>
      <c r="J420">
        <v>362</v>
      </c>
      <c r="K420">
        <v>177</v>
      </c>
      <c r="L420" t="s">
        <v>41</v>
      </c>
      <c r="M420">
        <v>60</v>
      </c>
      <c r="N420" t="s">
        <v>16</v>
      </c>
      <c r="O420" t="s">
        <v>19</v>
      </c>
      <c r="P420" t="s">
        <v>11</v>
      </c>
      <c r="Q420">
        <v>150</v>
      </c>
      <c r="R420">
        <v>2019</v>
      </c>
      <c r="S420" t="s">
        <v>18</v>
      </c>
      <c r="T420" s="1">
        <v>28757.8</v>
      </c>
      <c r="U420">
        <v>362</v>
      </c>
      <c r="V420" t="s">
        <v>9</v>
      </c>
      <c r="W420" t="s">
        <v>15</v>
      </c>
      <c r="X420">
        <v>116605.2</v>
      </c>
      <c r="Y420">
        <v>975</v>
      </c>
      <c r="Z420">
        <v>300</v>
      </c>
      <c r="AA420">
        <v>8100</v>
      </c>
      <c r="AB420" s="1">
        <v>14.395703703703701</v>
      </c>
      <c r="AC420" t="s">
        <v>48</v>
      </c>
    </row>
    <row r="421" spans="1:29">
      <c r="A421">
        <v>74</v>
      </c>
      <c r="B421" t="s">
        <v>16</v>
      </c>
      <c r="C421" t="s">
        <v>23</v>
      </c>
      <c r="D421" t="s">
        <v>11</v>
      </c>
      <c r="E421">
        <v>125</v>
      </c>
      <c r="F421">
        <v>2018</v>
      </c>
      <c r="G421" t="s">
        <v>18</v>
      </c>
      <c r="H421">
        <v>31138.639999999999</v>
      </c>
      <c r="I421">
        <v>0</v>
      </c>
      <c r="J421">
        <v>174</v>
      </c>
      <c r="K421">
        <v>122</v>
      </c>
      <c r="L421" t="s">
        <v>40</v>
      </c>
      <c r="M421">
        <v>74</v>
      </c>
      <c r="N421" t="s">
        <v>9</v>
      </c>
      <c r="O421" t="s">
        <v>15</v>
      </c>
      <c r="P421" t="s">
        <v>13</v>
      </c>
      <c r="Q421">
        <v>185</v>
      </c>
      <c r="R421">
        <v>2019</v>
      </c>
      <c r="S421" t="s">
        <v>22</v>
      </c>
      <c r="T421">
        <v>102498</v>
      </c>
      <c r="U421">
        <v>174</v>
      </c>
      <c r="V421" t="s">
        <v>9</v>
      </c>
      <c r="W421" t="s">
        <v>10</v>
      </c>
      <c r="X421">
        <v>116846.28</v>
      </c>
      <c r="Y421">
        <v>975</v>
      </c>
      <c r="Z421">
        <v>350</v>
      </c>
      <c r="AA421">
        <v>7500</v>
      </c>
      <c r="AB421" s="1">
        <v>15.579504</v>
      </c>
      <c r="AC421" t="s">
        <v>48</v>
      </c>
    </row>
    <row r="422" spans="1:29">
      <c r="B422" t="s">
        <v>108</v>
      </c>
      <c r="C422" t="s">
        <v>108</v>
      </c>
      <c r="L422" t="s">
        <v>107</v>
      </c>
      <c r="U422">
        <v>472</v>
      </c>
      <c r="V422" t="s">
        <v>9</v>
      </c>
      <c r="W422" t="s">
        <v>15</v>
      </c>
      <c r="X422">
        <v>117221.25</v>
      </c>
      <c r="Y422">
        <v>825</v>
      </c>
      <c r="Z422">
        <v>225</v>
      </c>
      <c r="AA422">
        <v>7200</v>
      </c>
      <c r="AB422" s="1">
        <v>16.2807291666666</v>
      </c>
      <c r="AC422" t="s">
        <v>48</v>
      </c>
    </row>
    <row r="423" spans="1:29">
      <c r="A423">
        <v>321</v>
      </c>
      <c r="B423" t="s">
        <v>16</v>
      </c>
      <c r="C423" t="s">
        <v>15</v>
      </c>
      <c r="D423" t="s">
        <v>11</v>
      </c>
      <c r="E423">
        <v>110</v>
      </c>
      <c r="F423">
        <v>2021</v>
      </c>
      <c r="G423" t="s">
        <v>14</v>
      </c>
      <c r="H423">
        <v>30102</v>
      </c>
      <c r="I423">
        <v>0</v>
      </c>
      <c r="J423">
        <v>297</v>
      </c>
      <c r="K423">
        <v>148</v>
      </c>
      <c r="L423" t="s">
        <v>40</v>
      </c>
      <c r="M423">
        <v>65</v>
      </c>
      <c r="N423" t="s">
        <v>16</v>
      </c>
      <c r="O423" t="s">
        <v>10</v>
      </c>
      <c r="P423" t="s">
        <v>11</v>
      </c>
      <c r="Q423">
        <v>145</v>
      </c>
      <c r="R423">
        <v>2019</v>
      </c>
      <c r="S423" t="s">
        <v>22</v>
      </c>
      <c r="T423">
        <v>39775.32</v>
      </c>
      <c r="U423">
        <v>297</v>
      </c>
      <c r="V423" t="s">
        <v>9</v>
      </c>
      <c r="W423" t="s">
        <v>15</v>
      </c>
      <c r="X423">
        <v>117471.6</v>
      </c>
      <c r="Y423">
        <v>950</v>
      </c>
      <c r="AA423">
        <v>11400</v>
      </c>
      <c r="AB423" s="1">
        <v>10.304526315789399</v>
      </c>
      <c r="AC423" t="s">
        <v>48</v>
      </c>
    </row>
    <row r="424" spans="1:29">
      <c r="A424">
        <v>415</v>
      </c>
      <c r="B424" t="s">
        <v>9</v>
      </c>
      <c r="C424" t="s">
        <v>17</v>
      </c>
      <c r="D424" t="s">
        <v>11</v>
      </c>
      <c r="E424">
        <v>230</v>
      </c>
      <c r="F424">
        <v>2022</v>
      </c>
      <c r="G424" t="s">
        <v>12</v>
      </c>
      <c r="H424">
        <v>103264.65</v>
      </c>
      <c r="I424">
        <v>0</v>
      </c>
      <c r="J424">
        <v>210</v>
      </c>
      <c r="K424">
        <v>167</v>
      </c>
      <c r="L424" t="s">
        <v>40</v>
      </c>
      <c r="M424">
        <v>71</v>
      </c>
      <c r="N424" t="s">
        <v>9</v>
      </c>
      <c r="O424" t="s">
        <v>17</v>
      </c>
      <c r="P424" t="s">
        <v>11</v>
      </c>
      <c r="Q424">
        <v>90</v>
      </c>
      <c r="R424">
        <v>2019</v>
      </c>
      <c r="S424" t="s">
        <v>22</v>
      </c>
      <c r="T424">
        <v>95994.72</v>
      </c>
      <c r="U424">
        <v>210</v>
      </c>
      <c r="V424" t="s">
        <v>9</v>
      </c>
      <c r="W424" t="s">
        <v>23</v>
      </c>
      <c r="X424">
        <v>117630.7</v>
      </c>
      <c r="Y424">
        <v>825</v>
      </c>
      <c r="Z424">
        <v>175</v>
      </c>
      <c r="AA424">
        <v>7800</v>
      </c>
      <c r="AB424" s="1">
        <v>15.0808589743589</v>
      </c>
      <c r="AC424" t="s">
        <v>48</v>
      </c>
    </row>
    <row r="425" spans="1:29">
      <c r="A425">
        <v>125</v>
      </c>
      <c r="B425" t="s">
        <v>9</v>
      </c>
      <c r="C425" t="s">
        <v>15</v>
      </c>
      <c r="D425" t="s">
        <v>11</v>
      </c>
      <c r="E425">
        <v>165</v>
      </c>
      <c r="F425">
        <v>2019</v>
      </c>
      <c r="G425" t="s">
        <v>12</v>
      </c>
      <c r="H425">
        <v>91581.88</v>
      </c>
      <c r="I425">
        <v>0</v>
      </c>
      <c r="J425">
        <v>383</v>
      </c>
      <c r="K425">
        <v>485</v>
      </c>
      <c r="L425" t="s">
        <v>41</v>
      </c>
      <c r="M425">
        <v>58</v>
      </c>
      <c r="N425" t="s">
        <v>16</v>
      </c>
      <c r="O425" t="s">
        <v>19</v>
      </c>
      <c r="P425" t="s">
        <v>13</v>
      </c>
      <c r="Q425">
        <v>125</v>
      </c>
      <c r="R425">
        <v>2022</v>
      </c>
      <c r="S425" t="s">
        <v>22</v>
      </c>
      <c r="T425">
        <v>37522.5</v>
      </c>
      <c r="U425">
        <v>383</v>
      </c>
      <c r="V425" t="s">
        <v>9</v>
      </c>
      <c r="W425" t="s">
        <v>23</v>
      </c>
      <c r="X425">
        <v>117771.6</v>
      </c>
      <c r="Y425">
        <v>950</v>
      </c>
      <c r="Z425">
        <v>400</v>
      </c>
      <c r="AA425">
        <v>6600</v>
      </c>
      <c r="AB425" s="1">
        <v>17.844181818181799</v>
      </c>
      <c r="AC425" t="s">
        <v>48</v>
      </c>
    </row>
    <row r="426" spans="1:29">
      <c r="A426">
        <v>462</v>
      </c>
      <c r="B426" t="s">
        <v>16</v>
      </c>
      <c r="C426" t="s">
        <v>17</v>
      </c>
      <c r="D426" t="s">
        <v>11</v>
      </c>
      <c r="E426">
        <v>205</v>
      </c>
      <c r="F426">
        <v>2022</v>
      </c>
      <c r="G426" t="s">
        <v>14</v>
      </c>
      <c r="H426">
        <v>38717.5</v>
      </c>
      <c r="I426">
        <v>0</v>
      </c>
      <c r="J426">
        <v>421</v>
      </c>
      <c r="K426">
        <v>240</v>
      </c>
      <c r="L426" t="s">
        <v>41</v>
      </c>
      <c r="M426">
        <v>51</v>
      </c>
      <c r="N426" t="s">
        <v>16</v>
      </c>
      <c r="O426" t="s">
        <v>19</v>
      </c>
      <c r="P426" t="s">
        <v>13</v>
      </c>
      <c r="Q426">
        <v>110</v>
      </c>
      <c r="R426">
        <v>2019</v>
      </c>
      <c r="S426" t="s">
        <v>14</v>
      </c>
      <c r="T426">
        <v>35835.42</v>
      </c>
      <c r="U426">
        <v>421</v>
      </c>
      <c r="V426" t="s">
        <v>20</v>
      </c>
      <c r="W426" t="s">
        <v>15</v>
      </c>
      <c r="X426">
        <v>118322.31</v>
      </c>
      <c r="Y426">
        <v>825</v>
      </c>
      <c r="Z426">
        <v>700</v>
      </c>
      <c r="AA426">
        <v>1500</v>
      </c>
      <c r="AB426">
        <v>78.881540000000001</v>
      </c>
      <c r="AC426" t="s">
        <v>48</v>
      </c>
    </row>
    <row r="427" spans="1:29">
      <c r="A427">
        <v>209</v>
      </c>
      <c r="B427" t="s">
        <v>16</v>
      </c>
      <c r="C427" t="s">
        <v>17</v>
      </c>
      <c r="D427" t="s">
        <v>13</v>
      </c>
      <c r="E427">
        <v>240</v>
      </c>
      <c r="F427">
        <v>2019</v>
      </c>
      <c r="G427" t="s">
        <v>18</v>
      </c>
      <c r="H427" s="1">
        <v>30456.98</v>
      </c>
      <c r="I427">
        <v>0</v>
      </c>
      <c r="J427">
        <v>340</v>
      </c>
      <c r="K427">
        <v>402</v>
      </c>
      <c r="L427" t="s">
        <v>41</v>
      </c>
      <c r="M427">
        <v>62</v>
      </c>
      <c r="N427" t="s">
        <v>16</v>
      </c>
      <c r="O427" t="s">
        <v>19</v>
      </c>
      <c r="P427" t="s">
        <v>13</v>
      </c>
      <c r="Q427">
        <v>165</v>
      </c>
      <c r="R427">
        <v>2021</v>
      </c>
      <c r="S427" t="s">
        <v>18</v>
      </c>
      <c r="T427">
        <v>33697.199999999997</v>
      </c>
      <c r="U427">
        <v>340</v>
      </c>
      <c r="V427" t="s">
        <v>9</v>
      </c>
      <c r="W427" t="s">
        <v>19</v>
      </c>
      <c r="X427">
        <v>118746</v>
      </c>
      <c r="Y427">
        <v>950</v>
      </c>
      <c r="Z427">
        <v>275</v>
      </c>
      <c r="AA427">
        <v>8100</v>
      </c>
      <c r="AB427">
        <v>14.66</v>
      </c>
      <c r="AC427" t="s">
        <v>48</v>
      </c>
    </row>
    <row r="428" spans="1:29">
      <c r="B428" t="s">
        <v>108</v>
      </c>
      <c r="C428" t="s">
        <v>108</v>
      </c>
      <c r="L428" t="s">
        <v>107</v>
      </c>
      <c r="U428">
        <v>469</v>
      </c>
      <c r="V428" t="s">
        <v>9</v>
      </c>
      <c r="W428" t="s">
        <v>23</v>
      </c>
      <c r="X428">
        <v>118886.25</v>
      </c>
      <c r="Y428">
        <v>875</v>
      </c>
      <c r="Z428">
        <v>275</v>
      </c>
      <c r="AA428">
        <v>7200</v>
      </c>
      <c r="AB428" s="1">
        <v>16.511979166666599</v>
      </c>
      <c r="AC428" t="s">
        <v>48</v>
      </c>
    </row>
    <row r="429" spans="1:29">
      <c r="A429">
        <v>320</v>
      </c>
      <c r="B429" t="s">
        <v>9</v>
      </c>
      <c r="C429" t="s">
        <v>10</v>
      </c>
      <c r="D429" t="s">
        <v>13</v>
      </c>
      <c r="E429">
        <v>90</v>
      </c>
      <c r="F429">
        <v>2021</v>
      </c>
      <c r="G429" t="s">
        <v>14</v>
      </c>
      <c r="H429">
        <v>102979.2</v>
      </c>
      <c r="I429">
        <v>0</v>
      </c>
      <c r="J429">
        <v>407</v>
      </c>
      <c r="K429">
        <v>378</v>
      </c>
      <c r="L429" t="s">
        <v>41</v>
      </c>
      <c r="M429">
        <v>56</v>
      </c>
      <c r="N429" t="s">
        <v>16</v>
      </c>
      <c r="O429" t="s">
        <v>15</v>
      </c>
      <c r="P429" t="s">
        <v>24</v>
      </c>
      <c r="Q429">
        <v>135</v>
      </c>
      <c r="R429">
        <v>2021</v>
      </c>
      <c r="S429" t="s">
        <v>18</v>
      </c>
      <c r="T429">
        <v>42788.4</v>
      </c>
      <c r="U429">
        <v>407</v>
      </c>
      <c r="V429" t="s">
        <v>9</v>
      </c>
      <c r="W429" t="s">
        <v>19</v>
      </c>
      <c r="X429">
        <v>119570.76</v>
      </c>
      <c r="Y429">
        <v>875</v>
      </c>
      <c r="Z429">
        <v>350</v>
      </c>
      <c r="AA429">
        <v>6300</v>
      </c>
      <c r="AB429" s="1">
        <v>18.979485714285701</v>
      </c>
      <c r="AC429" t="s">
        <v>48</v>
      </c>
    </row>
    <row r="430" spans="1:29">
      <c r="A430">
        <v>400</v>
      </c>
      <c r="B430" t="s">
        <v>9</v>
      </c>
      <c r="C430" t="s">
        <v>17</v>
      </c>
      <c r="D430" t="s">
        <v>11</v>
      </c>
      <c r="E430">
        <v>230</v>
      </c>
      <c r="F430">
        <v>2021</v>
      </c>
      <c r="G430" t="s">
        <v>14</v>
      </c>
      <c r="H430">
        <v>104485.2</v>
      </c>
      <c r="I430">
        <v>0</v>
      </c>
      <c r="J430">
        <v>361</v>
      </c>
      <c r="K430">
        <v>80</v>
      </c>
      <c r="L430" t="s">
        <v>41</v>
      </c>
      <c r="M430">
        <v>61</v>
      </c>
      <c r="N430" t="s">
        <v>16</v>
      </c>
      <c r="O430" t="s">
        <v>19</v>
      </c>
      <c r="P430" t="s">
        <v>11</v>
      </c>
      <c r="Q430">
        <v>170</v>
      </c>
      <c r="R430">
        <v>2018</v>
      </c>
      <c r="S430" t="s">
        <v>12</v>
      </c>
      <c r="T430">
        <v>40431.300000000003</v>
      </c>
      <c r="U430">
        <v>361</v>
      </c>
      <c r="V430" t="s">
        <v>9</v>
      </c>
      <c r="W430" t="s">
        <v>17</v>
      </c>
      <c r="X430">
        <v>119652</v>
      </c>
      <c r="Y430">
        <v>875</v>
      </c>
      <c r="Z430">
        <v>175</v>
      </c>
      <c r="AA430">
        <v>8400</v>
      </c>
      <c r="AB430" s="1">
        <v>14.2442857142857</v>
      </c>
      <c r="AC430" t="s">
        <v>48</v>
      </c>
    </row>
    <row r="431" spans="1:29">
      <c r="B431" t="s">
        <v>108</v>
      </c>
      <c r="C431" t="s">
        <v>108</v>
      </c>
      <c r="L431" t="s">
        <v>107</v>
      </c>
      <c r="U431">
        <v>439</v>
      </c>
      <c r="V431" t="s">
        <v>9</v>
      </c>
      <c r="W431" t="s">
        <v>19</v>
      </c>
      <c r="X431">
        <v>120269.4</v>
      </c>
      <c r="Y431">
        <v>825</v>
      </c>
      <c r="Z431">
        <v>275</v>
      </c>
      <c r="AA431">
        <v>6600</v>
      </c>
      <c r="AB431" s="1">
        <v>18.222636363636301</v>
      </c>
      <c r="AC431" t="s">
        <v>48</v>
      </c>
    </row>
    <row r="432" spans="1:29">
      <c r="A432">
        <v>227</v>
      </c>
      <c r="B432" t="s">
        <v>16</v>
      </c>
      <c r="C432" t="s">
        <v>10</v>
      </c>
      <c r="D432" t="s">
        <v>11</v>
      </c>
      <c r="E432">
        <v>240</v>
      </c>
      <c r="F432">
        <v>2019</v>
      </c>
      <c r="G432" t="s">
        <v>22</v>
      </c>
      <c r="H432">
        <v>30646.080000000002</v>
      </c>
      <c r="I432">
        <v>0</v>
      </c>
      <c r="J432">
        <v>341</v>
      </c>
      <c r="K432">
        <v>424</v>
      </c>
      <c r="L432" t="s">
        <v>41</v>
      </c>
      <c r="M432">
        <v>62</v>
      </c>
      <c r="N432" t="s">
        <v>16</v>
      </c>
      <c r="O432" t="s">
        <v>15</v>
      </c>
      <c r="P432" t="s">
        <v>13</v>
      </c>
      <c r="Q432">
        <v>190</v>
      </c>
      <c r="R432">
        <v>2022</v>
      </c>
      <c r="S432" t="s">
        <v>14</v>
      </c>
      <c r="T432">
        <v>34626.959999999999</v>
      </c>
      <c r="U432">
        <v>341</v>
      </c>
      <c r="V432" t="s">
        <v>9</v>
      </c>
      <c r="W432" t="s">
        <v>15</v>
      </c>
      <c r="X432">
        <v>120495.6</v>
      </c>
      <c r="Y432">
        <v>825</v>
      </c>
      <c r="AA432">
        <v>9900</v>
      </c>
      <c r="AB432" s="1">
        <v>12.171272727272701</v>
      </c>
      <c r="AC432" t="s">
        <v>48</v>
      </c>
    </row>
    <row r="433" spans="1:29">
      <c r="A433">
        <v>338</v>
      </c>
      <c r="B433" t="s">
        <v>16</v>
      </c>
      <c r="C433" t="s">
        <v>17</v>
      </c>
      <c r="D433" t="s">
        <v>13</v>
      </c>
      <c r="E433">
        <v>135</v>
      </c>
      <c r="F433">
        <v>2021</v>
      </c>
      <c r="G433" t="s">
        <v>18</v>
      </c>
      <c r="H433">
        <v>43828.800000000003</v>
      </c>
      <c r="I433">
        <v>0</v>
      </c>
      <c r="J433">
        <v>301</v>
      </c>
      <c r="K433">
        <v>223</v>
      </c>
      <c r="L433" t="s">
        <v>41</v>
      </c>
      <c r="M433">
        <v>64</v>
      </c>
      <c r="N433" t="s">
        <v>16</v>
      </c>
      <c r="O433" t="s">
        <v>10</v>
      </c>
      <c r="P433" t="s">
        <v>13</v>
      </c>
      <c r="Q433">
        <v>170</v>
      </c>
      <c r="R433">
        <v>2019</v>
      </c>
      <c r="S433" t="s">
        <v>14</v>
      </c>
      <c r="T433">
        <v>22600.6</v>
      </c>
      <c r="U433">
        <v>301</v>
      </c>
      <c r="V433" t="s">
        <v>9</v>
      </c>
      <c r="W433" t="s">
        <v>23</v>
      </c>
      <c r="X433">
        <v>120549.6</v>
      </c>
      <c r="Y433">
        <v>825</v>
      </c>
      <c r="Z433">
        <v>225</v>
      </c>
      <c r="AA433">
        <v>7200</v>
      </c>
      <c r="AB433">
        <v>16.742999999999999</v>
      </c>
      <c r="AC433" t="s">
        <v>48</v>
      </c>
    </row>
    <row r="434" spans="1:29">
      <c r="B434" t="s">
        <v>108</v>
      </c>
      <c r="C434" t="s">
        <v>108</v>
      </c>
      <c r="L434" t="s">
        <v>107</v>
      </c>
      <c r="U434">
        <v>479</v>
      </c>
      <c r="V434" t="s">
        <v>9</v>
      </c>
      <c r="W434" t="s">
        <v>23</v>
      </c>
      <c r="X434">
        <v>120790</v>
      </c>
      <c r="Y434">
        <v>950</v>
      </c>
      <c r="Z434">
        <v>400</v>
      </c>
      <c r="AA434">
        <v>6600</v>
      </c>
      <c r="AB434" s="1">
        <v>18.301515151515101</v>
      </c>
      <c r="AC434" t="s">
        <v>48</v>
      </c>
    </row>
    <row r="435" spans="1:29">
      <c r="A435">
        <v>372</v>
      </c>
      <c r="B435" t="s">
        <v>20</v>
      </c>
      <c r="C435" t="s">
        <v>15</v>
      </c>
      <c r="D435" t="s">
        <v>24</v>
      </c>
      <c r="E435">
        <v>200</v>
      </c>
      <c r="F435">
        <v>2021</v>
      </c>
      <c r="G435" t="s">
        <v>14</v>
      </c>
      <c r="H435">
        <v>112762.8</v>
      </c>
      <c r="I435">
        <v>0</v>
      </c>
      <c r="J435">
        <v>411</v>
      </c>
      <c r="K435">
        <v>203</v>
      </c>
      <c r="L435" t="s">
        <v>41</v>
      </c>
      <c r="M435">
        <v>55</v>
      </c>
      <c r="N435" t="s">
        <v>16</v>
      </c>
      <c r="O435" t="s">
        <v>19</v>
      </c>
      <c r="P435" t="s">
        <v>13</v>
      </c>
      <c r="Q435">
        <v>140</v>
      </c>
      <c r="R435">
        <v>2019</v>
      </c>
      <c r="S435" t="s">
        <v>12</v>
      </c>
      <c r="T435">
        <v>35824.68</v>
      </c>
      <c r="U435">
        <v>411</v>
      </c>
      <c r="V435" t="s">
        <v>9</v>
      </c>
      <c r="W435" t="s">
        <v>15</v>
      </c>
      <c r="X435">
        <v>121230.03</v>
      </c>
      <c r="Y435">
        <v>875</v>
      </c>
      <c r="Z435">
        <v>400</v>
      </c>
      <c r="AA435">
        <v>5700</v>
      </c>
      <c r="AB435" s="1">
        <v>21.268426315789402</v>
      </c>
      <c r="AC435" t="s">
        <v>48</v>
      </c>
    </row>
    <row r="436" spans="1:29">
      <c r="B436" t="s">
        <v>108</v>
      </c>
      <c r="C436" t="s">
        <v>108</v>
      </c>
      <c r="L436" t="s">
        <v>107</v>
      </c>
      <c r="U436">
        <v>435</v>
      </c>
      <c r="V436" t="s">
        <v>9</v>
      </c>
      <c r="W436" t="s">
        <v>17</v>
      </c>
      <c r="X436">
        <v>121287.84</v>
      </c>
      <c r="Y436">
        <v>975</v>
      </c>
      <c r="Z436">
        <v>275</v>
      </c>
      <c r="AA436">
        <v>8400</v>
      </c>
      <c r="AB436" s="1">
        <v>14.4390285714285</v>
      </c>
      <c r="AC436" t="s">
        <v>48</v>
      </c>
    </row>
    <row r="437" spans="1:29">
      <c r="A437">
        <v>179</v>
      </c>
      <c r="B437" t="s">
        <v>9</v>
      </c>
      <c r="C437" t="s">
        <v>23</v>
      </c>
      <c r="D437" t="s">
        <v>13</v>
      </c>
      <c r="E437">
        <v>95</v>
      </c>
      <c r="F437">
        <v>2019</v>
      </c>
      <c r="G437" t="s">
        <v>12</v>
      </c>
      <c r="H437">
        <v>95797.08</v>
      </c>
      <c r="I437">
        <v>0</v>
      </c>
      <c r="J437">
        <v>337</v>
      </c>
      <c r="K437">
        <v>373</v>
      </c>
      <c r="L437" t="s">
        <v>41</v>
      </c>
      <c r="M437">
        <v>62</v>
      </c>
      <c r="N437" t="s">
        <v>16</v>
      </c>
      <c r="O437" t="s">
        <v>17</v>
      </c>
      <c r="P437" t="s">
        <v>13</v>
      </c>
      <c r="Q437">
        <v>165</v>
      </c>
      <c r="R437">
        <v>2021</v>
      </c>
      <c r="S437" t="s">
        <v>22</v>
      </c>
      <c r="T437">
        <v>28458</v>
      </c>
      <c r="U437">
        <v>337</v>
      </c>
      <c r="V437" t="s">
        <v>9</v>
      </c>
      <c r="W437" t="s">
        <v>15</v>
      </c>
      <c r="X437">
        <v>121363.2</v>
      </c>
      <c r="Y437">
        <v>875</v>
      </c>
      <c r="Z437">
        <v>400</v>
      </c>
      <c r="AA437">
        <v>5700</v>
      </c>
      <c r="AB437" s="1">
        <v>21.291789473684201</v>
      </c>
      <c r="AC437" t="s">
        <v>48</v>
      </c>
    </row>
    <row r="438" spans="1:29">
      <c r="B438" t="s">
        <v>108</v>
      </c>
      <c r="C438" t="s">
        <v>108</v>
      </c>
      <c r="L438" t="s">
        <v>107</v>
      </c>
      <c r="U438">
        <v>500</v>
      </c>
      <c r="V438" t="s">
        <v>20</v>
      </c>
      <c r="W438" t="s">
        <v>15</v>
      </c>
      <c r="X438">
        <v>121382.5</v>
      </c>
      <c r="Y438">
        <v>875</v>
      </c>
      <c r="Z438">
        <v>700</v>
      </c>
      <c r="AA438">
        <v>2100</v>
      </c>
      <c r="AB438" s="1">
        <v>57.801190476190399</v>
      </c>
      <c r="AC438" t="s">
        <v>48</v>
      </c>
    </row>
    <row r="439" spans="1:29">
      <c r="A439">
        <v>474</v>
      </c>
      <c r="B439" t="s">
        <v>16</v>
      </c>
      <c r="C439" t="s">
        <v>17</v>
      </c>
      <c r="D439" t="s">
        <v>13</v>
      </c>
      <c r="E439">
        <v>95</v>
      </c>
      <c r="F439">
        <v>2022</v>
      </c>
      <c r="G439" t="s">
        <v>18</v>
      </c>
      <c r="H439">
        <v>34130</v>
      </c>
      <c r="I439">
        <v>0</v>
      </c>
      <c r="J439">
        <v>316</v>
      </c>
      <c r="K439">
        <v>115</v>
      </c>
      <c r="L439" t="s">
        <v>41</v>
      </c>
      <c r="M439">
        <v>64</v>
      </c>
      <c r="N439" t="s">
        <v>16</v>
      </c>
      <c r="O439" t="s">
        <v>17</v>
      </c>
      <c r="P439" t="s">
        <v>11</v>
      </c>
      <c r="Q439">
        <v>235</v>
      </c>
      <c r="R439">
        <v>2018</v>
      </c>
      <c r="S439" t="s">
        <v>22</v>
      </c>
      <c r="T439">
        <v>35494.160000000003</v>
      </c>
      <c r="U439">
        <v>316</v>
      </c>
      <c r="V439" t="s">
        <v>9</v>
      </c>
      <c r="W439" t="s">
        <v>10</v>
      </c>
      <c r="X439">
        <v>121504.8</v>
      </c>
      <c r="Y439">
        <v>975</v>
      </c>
      <c r="Z439">
        <v>375</v>
      </c>
      <c r="AA439">
        <v>7200</v>
      </c>
      <c r="AB439" s="1">
        <v>16.8756666666666</v>
      </c>
      <c r="AC439" t="s">
        <v>48</v>
      </c>
    </row>
    <row r="440" spans="1:29">
      <c r="A440">
        <v>241</v>
      </c>
      <c r="B440" t="s">
        <v>9</v>
      </c>
      <c r="C440" t="s">
        <v>19</v>
      </c>
      <c r="D440" t="s">
        <v>11</v>
      </c>
      <c r="E440">
        <v>155</v>
      </c>
      <c r="F440">
        <v>2019</v>
      </c>
      <c r="G440" t="s">
        <v>18</v>
      </c>
      <c r="H440">
        <v>109946.16</v>
      </c>
      <c r="I440">
        <v>0</v>
      </c>
      <c r="J440">
        <v>287</v>
      </c>
      <c r="K440">
        <v>102</v>
      </c>
      <c r="L440" t="s">
        <v>40</v>
      </c>
      <c r="M440">
        <v>67</v>
      </c>
      <c r="N440" t="s">
        <v>9</v>
      </c>
      <c r="O440" t="s">
        <v>17</v>
      </c>
      <c r="P440" t="s">
        <v>13</v>
      </c>
      <c r="Q440">
        <v>150</v>
      </c>
      <c r="R440">
        <v>2018</v>
      </c>
      <c r="S440" t="s">
        <v>22</v>
      </c>
      <c r="T440">
        <v>101430</v>
      </c>
      <c r="U440">
        <v>287</v>
      </c>
      <c r="V440" t="s">
        <v>9</v>
      </c>
      <c r="W440" t="s">
        <v>15</v>
      </c>
      <c r="X440">
        <v>121669.2</v>
      </c>
      <c r="Y440">
        <v>950</v>
      </c>
      <c r="Z440">
        <v>300</v>
      </c>
      <c r="AA440">
        <v>7800</v>
      </c>
      <c r="AB440" s="1">
        <v>15.5986153846153</v>
      </c>
      <c r="AC440" t="s">
        <v>48</v>
      </c>
    </row>
    <row r="441" spans="1:29">
      <c r="A441">
        <v>329</v>
      </c>
      <c r="B441" t="s">
        <v>16</v>
      </c>
      <c r="C441" t="s">
        <v>10</v>
      </c>
      <c r="D441" t="s">
        <v>13</v>
      </c>
      <c r="E441">
        <v>120</v>
      </c>
      <c r="F441">
        <v>2021</v>
      </c>
      <c r="G441" t="s">
        <v>14</v>
      </c>
      <c r="H441">
        <v>46294.8</v>
      </c>
      <c r="I441">
        <v>0</v>
      </c>
      <c r="J441">
        <v>299</v>
      </c>
      <c r="K441">
        <v>395</v>
      </c>
      <c r="L441" t="s">
        <v>40</v>
      </c>
      <c r="M441">
        <v>65</v>
      </c>
      <c r="N441" t="s">
        <v>16</v>
      </c>
      <c r="O441" t="s">
        <v>19</v>
      </c>
      <c r="P441" t="s">
        <v>13</v>
      </c>
      <c r="Q441">
        <v>235</v>
      </c>
      <c r="R441">
        <v>2021</v>
      </c>
      <c r="S441" t="s">
        <v>22</v>
      </c>
      <c r="T441">
        <v>45291.6</v>
      </c>
      <c r="U441">
        <v>299</v>
      </c>
      <c r="V441" t="s">
        <v>9</v>
      </c>
      <c r="W441" t="s">
        <v>10</v>
      </c>
      <c r="X441">
        <v>121714.8</v>
      </c>
      <c r="Y441">
        <v>875</v>
      </c>
      <c r="Z441">
        <v>300</v>
      </c>
      <c r="AA441">
        <v>6900</v>
      </c>
      <c r="AB441" s="1">
        <v>17.6398260869565</v>
      </c>
      <c r="AC441" t="s">
        <v>48</v>
      </c>
    </row>
    <row r="442" spans="1:29">
      <c r="A442">
        <v>97</v>
      </c>
      <c r="B442" t="s">
        <v>16</v>
      </c>
      <c r="C442" t="s">
        <v>10</v>
      </c>
      <c r="D442" t="s">
        <v>11</v>
      </c>
      <c r="E442">
        <v>205</v>
      </c>
      <c r="F442">
        <v>2018</v>
      </c>
      <c r="G442" t="s">
        <v>18</v>
      </c>
      <c r="H442">
        <v>37352.699999999997</v>
      </c>
      <c r="I442">
        <v>0</v>
      </c>
      <c r="J442">
        <v>276</v>
      </c>
      <c r="K442">
        <v>169</v>
      </c>
      <c r="L442" t="s">
        <v>40</v>
      </c>
      <c r="M442">
        <v>67</v>
      </c>
      <c r="N442" t="s">
        <v>16</v>
      </c>
      <c r="O442" t="s">
        <v>10</v>
      </c>
      <c r="P442" t="s">
        <v>13</v>
      </c>
      <c r="Q442">
        <v>215</v>
      </c>
      <c r="R442">
        <v>2019</v>
      </c>
      <c r="S442" t="s">
        <v>22</v>
      </c>
      <c r="T442">
        <v>39719.160000000003</v>
      </c>
      <c r="U442">
        <v>276</v>
      </c>
      <c r="V442" t="s">
        <v>9</v>
      </c>
      <c r="W442" t="s">
        <v>15</v>
      </c>
      <c r="X442">
        <v>122871.25</v>
      </c>
      <c r="Y442">
        <v>825</v>
      </c>
      <c r="Z442">
        <v>200</v>
      </c>
      <c r="AA442">
        <v>7500</v>
      </c>
      <c r="AB442" s="1">
        <v>16.382833333333298</v>
      </c>
      <c r="AC442" t="s">
        <v>48</v>
      </c>
    </row>
    <row r="443" spans="1:29">
      <c r="A443">
        <v>194</v>
      </c>
      <c r="B443" t="s">
        <v>16</v>
      </c>
      <c r="C443" t="s">
        <v>19</v>
      </c>
      <c r="D443" t="s">
        <v>24</v>
      </c>
      <c r="E443">
        <v>195</v>
      </c>
      <c r="F443">
        <v>2019</v>
      </c>
      <c r="G443" t="s">
        <v>14</v>
      </c>
      <c r="H443">
        <v>36980.28</v>
      </c>
      <c r="I443">
        <v>0</v>
      </c>
      <c r="J443">
        <v>283</v>
      </c>
      <c r="K443">
        <v>73</v>
      </c>
      <c r="L443" t="s">
        <v>40</v>
      </c>
      <c r="M443">
        <v>67</v>
      </c>
      <c r="N443" t="s">
        <v>9</v>
      </c>
      <c r="O443" t="s">
        <v>15</v>
      </c>
      <c r="P443" t="s">
        <v>13</v>
      </c>
      <c r="Q443">
        <v>140</v>
      </c>
      <c r="R443">
        <v>2018</v>
      </c>
      <c r="S443" t="s">
        <v>14</v>
      </c>
      <c r="T443">
        <v>84035.7</v>
      </c>
      <c r="U443">
        <v>283</v>
      </c>
      <c r="V443" t="s">
        <v>9</v>
      </c>
      <c r="W443" t="s">
        <v>15</v>
      </c>
      <c r="X443">
        <v>122922.96</v>
      </c>
      <c r="Y443">
        <v>975</v>
      </c>
      <c r="Z443">
        <v>250</v>
      </c>
      <c r="AA443">
        <v>8700</v>
      </c>
      <c r="AB443" s="1">
        <v>14.1290758620689</v>
      </c>
      <c r="AC443" t="s">
        <v>48</v>
      </c>
    </row>
    <row r="444" spans="1:29">
      <c r="B444" t="s">
        <v>108</v>
      </c>
      <c r="C444" t="s">
        <v>108</v>
      </c>
      <c r="L444" t="s">
        <v>107</v>
      </c>
      <c r="U444">
        <v>425</v>
      </c>
      <c r="V444" t="s">
        <v>20</v>
      </c>
      <c r="W444" t="s">
        <v>15</v>
      </c>
      <c r="X444">
        <v>123644.52</v>
      </c>
      <c r="Y444">
        <v>950</v>
      </c>
      <c r="Z444">
        <v>350</v>
      </c>
      <c r="AA444">
        <v>7200</v>
      </c>
      <c r="AB444">
        <v>17.17285</v>
      </c>
      <c r="AC444" t="s">
        <v>48</v>
      </c>
    </row>
    <row r="445" spans="1:29">
      <c r="A445">
        <v>300</v>
      </c>
      <c r="B445" t="s">
        <v>9</v>
      </c>
      <c r="C445" t="s">
        <v>15</v>
      </c>
      <c r="D445" t="s">
        <v>13</v>
      </c>
      <c r="E445">
        <v>190</v>
      </c>
      <c r="F445">
        <v>2021</v>
      </c>
      <c r="G445" t="s">
        <v>22</v>
      </c>
      <c r="H445">
        <v>98055.6</v>
      </c>
      <c r="I445">
        <v>0</v>
      </c>
      <c r="J445">
        <v>348</v>
      </c>
      <c r="K445">
        <v>363</v>
      </c>
      <c r="L445" t="s">
        <v>41</v>
      </c>
      <c r="M445">
        <v>62</v>
      </c>
      <c r="N445" t="s">
        <v>16</v>
      </c>
      <c r="O445" t="s">
        <v>19</v>
      </c>
      <c r="P445" t="s">
        <v>13</v>
      </c>
      <c r="Q445">
        <v>185</v>
      </c>
      <c r="R445">
        <v>2021</v>
      </c>
      <c r="S445" t="s">
        <v>22</v>
      </c>
      <c r="T445">
        <v>44119.199999999997</v>
      </c>
      <c r="U445">
        <v>348</v>
      </c>
      <c r="V445" t="s">
        <v>9</v>
      </c>
      <c r="W445" t="s">
        <v>15</v>
      </c>
      <c r="X445">
        <v>123667.2</v>
      </c>
      <c r="Y445">
        <v>975</v>
      </c>
      <c r="Z445">
        <v>275</v>
      </c>
      <c r="AA445">
        <v>8400</v>
      </c>
      <c r="AB445" s="1">
        <v>14.7222857142857</v>
      </c>
      <c r="AC445" t="s">
        <v>48</v>
      </c>
    </row>
    <row r="446" spans="1:29">
      <c r="B446" t="s">
        <v>108</v>
      </c>
      <c r="C446" t="s">
        <v>108</v>
      </c>
      <c r="L446" t="s">
        <v>107</v>
      </c>
      <c r="U446">
        <v>488</v>
      </c>
      <c r="V446" t="s">
        <v>9</v>
      </c>
      <c r="W446" t="s">
        <v>15</v>
      </c>
      <c r="X446">
        <v>123923.75</v>
      </c>
      <c r="Y446">
        <v>950</v>
      </c>
      <c r="Z446">
        <v>275</v>
      </c>
      <c r="AA446">
        <v>8100</v>
      </c>
      <c r="AB446" s="1">
        <v>15.2992283950617</v>
      </c>
      <c r="AC446" t="s">
        <v>48</v>
      </c>
    </row>
    <row r="447" spans="1:29">
      <c r="A447">
        <v>291</v>
      </c>
      <c r="B447" t="s">
        <v>20</v>
      </c>
      <c r="C447" t="s">
        <v>15</v>
      </c>
      <c r="D447" t="s">
        <v>11</v>
      </c>
      <c r="E447">
        <v>165</v>
      </c>
      <c r="F447">
        <v>2021</v>
      </c>
      <c r="G447" t="s">
        <v>18</v>
      </c>
      <c r="H447">
        <v>129960</v>
      </c>
      <c r="I447">
        <v>0</v>
      </c>
      <c r="J447">
        <v>406</v>
      </c>
      <c r="K447">
        <v>222</v>
      </c>
      <c r="L447" t="s">
        <v>41</v>
      </c>
      <c r="M447">
        <v>56</v>
      </c>
      <c r="N447" t="s">
        <v>16</v>
      </c>
      <c r="O447" t="s">
        <v>23</v>
      </c>
      <c r="P447" t="s">
        <v>13</v>
      </c>
      <c r="Q447">
        <v>110</v>
      </c>
      <c r="R447">
        <v>2019</v>
      </c>
      <c r="S447" t="s">
        <v>18</v>
      </c>
      <c r="T447" s="1">
        <v>41977.06</v>
      </c>
      <c r="U447">
        <v>406</v>
      </c>
      <c r="V447" t="s">
        <v>9</v>
      </c>
      <c r="W447" t="s">
        <v>19</v>
      </c>
      <c r="X447">
        <v>124720.77</v>
      </c>
      <c r="Y447">
        <v>950</v>
      </c>
      <c r="Z447">
        <v>325</v>
      </c>
      <c r="AA447">
        <v>7500</v>
      </c>
      <c r="AB447" s="1">
        <v>16.629435999999998</v>
      </c>
      <c r="AC447" t="s">
        <v>48</v>
      </c>
    </row>
    <row r="448" spans="1:29">
      <c r="B448" t="s">
        <v>108</v>
      </c>
      <c r="C448" t="s">
        <v>108</v>
      </c>
      <c r="L448" t="s">
        <v>107</v>
      </c>
      <c r="U448">
        <v>478</v>
      </c>
      <c r="V448" t="s">
        <v>9</v>
      </c>
      <c r="W448" t="s">
        <v>23</v>
      </c>
      <c r="X448">
        <v>124838.75</v>
      </c>
      <c r="Y448">
        <v>825</v>
      </c>
      <c r="Z448">
        <v>225</v>
      </c>
      <c r="AA448">
        <v>7200</v>
      </c>
      <c r="AB448" s="1">
        <v>17.338715277777698</v>
      </c>
      <c r="AC448" t="s">
        <v>48</v>
      </c>
    </row>
    <row r="449" spans="1:29">
      <c r="B449" t="s">
        <v>108</v>
      </c>
      <c r="C449" t="s">
        <v>108</v>
      </c>
      <c r="L449" t="s">
        <v>107</v>
      </c>
      <c r="U449">
        <v>426</v>
      </c>
      <c r="V449" t="s">
        <v>20</v>
      </c>
      <c r="W449" t="s">
        <v>17</v>
      </c>
      <c r="X449">
        <v>124918.8</v>
      </c>
      <c r="Y449">
        <v>875</v>
      </c>
      <c r="Z449">
        <v>700</v>
      </c>
      <c r="AA449">
        <v>2100</v>
      </c>
      <c r="AB449" s="1">
        <v>59.485142857142797</v>
      </c>
      <c r="AC449" t="s">
        <v>48</v>
      </c>
    </row>
    <row r="450" spans="1:29">
      <c r="A450">
        <v>479</v>
      </c>
      <c r="B450" t="s">
        <v>9</v>
      </c>
      <c r="C450" t="s">
        <v>23</v>
      </c>
      <c r="D450" t="s">
        <v>11</v>
      </c>
      <c r="E450">
        <v>115</v>
      </c>
      <c r="F450">
        <v>2022</v>
      </c>
      <c r="G450" t="s">
        <v>14</v>
      </c>
      <c r="H450">
        <v>120790</v>
      </c>
      <c r="I450">
        <v>0</v>
      </c>
      <c r="J450">
        <v>423</v>
      </c>
      <c r="K450">
        <v>89</v>
      </c>
      <c r="L450" t="s">
        <v>41</v>
      </c>
      <c r="M450">
        <v>48</v>
      </c>
      <c r="N450" t="s">
        <v>16</v>
      </c>
      <c r="O450" t="s">
        <v>19</v>
      </c>
      <c r="P450" t="s">
        <v>13</v>
      </c>
      <c r="Q450">
        <v>95</v>
      </c>
      <c r="R450">
        <v>2018</v>
      </c>
      <c r="S450" t="s">
        <v>12</v>
      </c>
      <c r="T450">
        <v>38249.4</v>
      </c>
      <c r="U450">
        <v>423</v>
      </c>
      <c r="V450" t="s">
        <v>9</v>
      </c>
      <c r="W450" t="s">
        <v>15</v>
      </c>
      <c r="X450">
        <v>125300.1</v>
      </c>
      <c r="Y450">
        <v>975</v>
      </c>
      <c r="Z450">
        <v>150</v>
      </c>
      <c r="AA450">
        <v>9900</v>
      </c>
      <c r="AB450" s="1">
        <v>12.6565757575757</v>
      </c>
      <c r="AC450" t="s">
        <v>48</v>
      </c>
    </row>
    <row r="451" spans="1:29">
      <c r="A451">
        <v>348</v>
      </c>
      <c r="B451" t="s">
        <v>9</v>
      </c>
      <c r="C451" t="s">
        <v>15</v>
      </c>
      <c r="D451" t="s">
        <v>13</v>
      </c>
      <c r="E451">
        <v>185</v>
      </c>
      <c r="F451">
        <v>2021</v>
      </c>
      <c r="G451" t="s">
        <v>22</v>
      </c>
      <c r="H451">
        <v>123667.2</v>
      </c>
      <c r="I451">
        <v>0</v>
      </c>
      <c r="J451">
        <v>410</v>
      </c>
      <c r="K451">
        <v>198</v>
      </c>
      <c r="L451" t="s">
        <v>41</v>
      </c>
      <c r="M451">
        <v>55</v>
      </c>
      <c r="N451" t="s">
        <v>16</v>
      </c>
      <c r="O451" t="s">
        <v>17</v>
      </c>
      <c r="P451" t="s">
        <v>13</v>
      </c>
      <c r="Q451">
        <v>135</v>
      </c>
      <c r="R451">
        <v>2019</v>
      </c>
      <c r="S451" t="s">
        <v>22</v>
      </c>
      <c r="T451" s="1">
        <v>26142.48</v>
      </c>
      <c r="U451">
        <v>410</v>
      </c>
      <c r="V451" t="s">
        <v>9</v>
      </c>
      <c r="W451" t="s">
        <v>17</v>
      </c>
      <c r="X451">
        <v>126424.32000000001</v>
      </c>
      <c r="Y451">
        <v>950</v>
      </c>
      <c r="Z451">
        <v>250</v>
      </c>
      <c r="AA451">
        <v>8400</v>
      </c>
      <c r="AB451" s="1">
        <v>15.0505142857142</v>
      </c>
      <c r="AC451" t="s">
        <v>48</v>
      </c>
    </row>
    <row r="452" spans="1:29">
      <c r="A452">
        <v>459</v>
      </c>
      <c r="B452" t="s">
        <v>9</v>
      </c>
      <c r="C452" t="s">
        <v>19</v>
      </c>
      <c r="D452" t="s">
        <v>11</v>
      </c>
      <c r="E452">
        <v>110</v>
      </c>
      <c r="F452">
        <v>2022</v>
      </c>
      <c r="G452" t="s">
        <v>18</v>
      </c>
      <c r="H452">
        <v>132718.23000000001</v>
      </c>
      <c r="I452">
        <v>0</v>
      </c>
      <c r="J452">
        <v>369</v>
      </c>
      <c r="K452">
        <v>127</v>
      </c>
      <c r="L452" t="s">
        <v>41</v>
      </c>
      <c r="M452">
        <v>59</v>
      </c>
      <c r="N452" t="s">
        <v>16</v>
      </c>
      <c r="O452" t="s">
        <v>17</v>
      </c>
      <c r="P452" t="s">
        <v>13</v>
      </c>
      <c r="Q452">
        <v>170</v>
      </c>
      <c r="R452">
        <v>2019</v>
      </c>
      <c r="S452" t="s">
        <v>18</v>
      </c>
      <c r="T452">
        <v>28017.919999999998</v>
      </c>
      <c r="U452">
        <v>369</v>
      </c>
      <c r="V452" t="s">
        <v>9</v>
      </c>
      <c r="W452" t="s">
        <v>15</v>
      </c>
      <c r="X452">
        <v>126607.2</v>
      </c>
      <c r="Y452">
        <v>875</v>
      </c>
      <c r="Z452">
        <v>350</v>
      </c>
      <c r="AA452">
        <v>6300</v>
      </c>
      <c r="AB452" s="1">
        <v>20.096380952380901</v>
      </c>
      <c r="AC452" t="s">
        <v>48</v>
      </c>
    </row>
    <row r="453" spans="1:29">
      <c r="A453">
        <v>232</v>
      </c>
      <c r="B453" t="s">
        <v>9</v>
      </c>
      <c r="C453" t="s">
        <v>17</v>
      </c>
      <c r="D453" t="s">
        <v>13</v>
      </c>
      <c r="E453">
        <v>145</v>
      </c>
      <c r="F453">
        <v>2019</v>
      </c>
      <c r="G453" t="s">
        <v>18</v>
      </c>
      <c r="H453">
        <v>106021.44</v>
      </c>
      <c r="I453">
        <v>0</v>
      </c>
      <c r="J453">
        <v>286</v>
      </c>
      <c r="K453">
        <v>78</v>
      </c>
      <c r="L453" t="s">
        <v>40</v>
      </c>
      <c r="M453">
        <v>67</v>
      </c>
      <c r="N453" t="s">
        <v>9</v>
      </c>
      <c r="O453" t="s">
        <v>15</v>
      </c>
      <c r="P453" t="s">
        <v>13</v>
      </c>
      <c r="Q453">
        <v>140</v>
      </c>
      <c r="R453">
        <v>2018</v>
      </c>
      <c r="S453" t="s">
        <v>12</v>
      </c>
      <c r="T453">
        <v>99832.95</v>
      </c>
      <c r="U453">
        <v>286</v>
      </c>
      <c r="V453" t="s">
        <v>9</v>
      </c>
      <c r="W453" t="s">
        <v>15</v>
      </c>
      <c r="X453">
        <v>126835.2</v>
      </c>
      <c r="Y453">
        <v>875</v>
      </c>
      <c r="Z453">
        <v>175</v>
      </c>
      <c r="AA453">
        <v>8400</v>
      </c>
      <c r="AB453" s="1">
        <v>15.099428571428501</v>
      </c>
      <c r="AC453" t="s">
        <v>48</v>
      </c>
    </row>
    <row r="454" spans="1:29">
      <c r="A454">
        <v>334</v>
      </c>
      <c r="B454" t="s">
        <v>9</v>
      </c>
      <c r="C454" t="s">
        <v>19</v>
      </c>
      <c r="D454" t="s">
        <v>11</v>
      </c>
      <c r="E454">
        <v>150</v>
      </c>
      <c r="F454">
        <v>2021</v>
      </c>
      <c r="G454" t="s">
        <v>12</v>
      </c>
      <c r="H454">
        <v>112645.2</v>
      </c>
      <c r="I454">
        <v>0</v>
      </c>
      <c r="J454">
        <v>351</v>
      </c>
      <c r="K454">
        <v>46</v>
      </c>
      <c r="L454" t="s">
        <v>41</v>
      </c>
      <c r="M454">
        <v>61</v>
      </c>
      <c r="N454" t="s">
        <v>16</v>
      </c>
      <c r="O454" t="s">
        <v>17</v>
      </c>
      <c r="P454" t="s">
        <v>11</v>
      </c>
      <c r="Q454">
        <v>195</v>
      </c>
      <c r="R454">
        <v>2018</v>
      </c>
      <c r="S454" t="s">
        <v>14</v>
      </c>
      <c r="T454">
        <v>23549.4</v>
      </c>
      <c r="U454">
        <v>351</v>
      </c>
      <c r="V454" t="s">
        <v>9</v>
      </c>
      <c r="W454" t="s">
        <v>10</v>
      </c>
      <c r="X454">
        <v>126897.60000000001</v>
      </c>
      <c r="Y454">
        <v>975</v>
      </c>
      <c r="Z454">
        <v>450</v>
      </c>
      <c r="AA454">
        <v>6300</v>
      </c>
      <c r="AB454" s="1">
        <v>20.142476190476099</v>
      </c>
      <c r="AC454" t="s">
        <v>48</v>
      </c>
    </row>
    <row r="455" spans="1:29">
      <c r="A455">
        <v>477</v>
      </c>
      <c r="B455" t="s">
        <v>9</v>
      </c>
      <c r="C455" t="s">
        <v>19</v>
      </c>
      <c r="D455" t="s">
        <v>11</v>
      </c>
      <c r="E455">
        <v>155</v>
      </c>
      <c r="F455">
        <v>2022</v>
      </c>
      <c r="G455" t="s">
        <v>12</v>
      </c>
      <c r="H455">
        <v>113855</v>
      </c>
      <c r="I455">
        <v>0</v>
      </c>
      <c r="J455">
        <v>318</v>
      </c>
      <c r="K455">
        <v>499</v>
      </c>
      <c r="L455" t="s">
        <v>41</v>
      </c>
      <c r="M455">
        <v>64</v>
      </c>
      <c r="N455" t="s">
        <v>16</v>
      </c>
      <c r="O455" t="s">
        <v>23</v>
      </c>
      <c r="P455" t="s">
        <v>11</v>
      </c>
      <c r="Q455">
        <v>105</v>
      </c>
      <c r="R455">
        <v>2022</v>
      </c>
      <c r="S455" t="s">
        <v>18</v>
      </c>
      <c r="T455">
        <v>42772.5</v>
      </c>
      <c r="U455">
        <v>318</v>
      </c>
      <c r="V455" t="s">
        <v>9</v>
      </c>
      <c r="W455" t="s">
        <v>15</v>
      </c>
      <c r="X455">
        <v>127162.8</v>
      </c>
      <c r="Y455">
        <v>875</v>
      </c>
      <c r="Z455">
        <v>300</v>
      </c>
      <c r="AA455">
        <v>6900</v>
      </c>
      <c r="AB455" s="1">
        <v>18.429391304347799</v>
      </c>
      <c r="AC455" t="s">
        <v>48</v>
      </c>
    </row>
    <row r="456" spans="1:29">
      <c r="A456">
        <v>180</v>
      </c>
      <c r="B456" t="s">
        <v>9</v>
      </c>
      <c r="C456" t="s">
        <v>19</v>
      </c>
      <c r="D456" t="s">
        <v>11</v>
      </c>
      <c r="E456">
        <v>160</v>
      </c>
      <c r="F456">
        <v>2019</v>
      </c>
      <c r="G456" t="s">
        <v>14</v>
      </c>
      <c r="H456">
        <v>93024.8</v>
      </c>
      <c r="I456">
        <v>0</v>
      </c>
      <c r="J456">
        <v>281</v>
      </c>
      <c r="K456">
        <v>237</v>
      </c>
      <c r="L456" t="s">
        <v>40</v>
      </c>
      <c r="M456">
        <v>67</v>
      </c>
      <c r="N456" t="s">
        <v>16</v>
      </c>
      <c r="O456" t="s">
        <v>19</v>
      </c>
      <c r="P456" t="s">
        <v>11</v>
      </c>
      <c r="Q456">
        <v>220</v>
      </c>
      <c r="R456">
        <v>2019</v>
      </c>
      <c r="S456" t="s">
        <v>14</v>
      </c>
      <c r="T456" s="1">
        <v>42262.559999999998</v>
      </c>
      <c r="U456">
        <v>281</v>
      </c>
      <c r="V456" t="s">
        <v>9</v>
      </c>
      <c r="W456" t="s">
        <v>15</v>
      </c>
      <c r="X456">
        <v>127181.58</v>
      </c>
      <c r="Y456">
        <v>875</v>
      </c>
      <c r="Z456">
        <v>425</v>
      </c>
      <c r="AA456">
        <v>5400</v>
      </c>
      <c r="AB456" s="1">
        <v>23.552144444444401</v>
      </c>
      <c r="AC456" t="s">
        <v>48</v>
      </c>
    </row>
    <row r="457" spans="1:29">
      <c r="A457">
        <v>489</v>
      </c>
      <c r="B457" t="s">
        <v>9</v>
      </c>
      <c r="C457" t="s">
        <v>17</v>
      </c>
      <c r="D457" t="s">
        <v>13</v>
      </c>
      <c r="E457">
        <v>160</v>
      </c>
      <c r="F457">
        <v>2022</v>
      </c>
      <c r="G457" t="s">
        <v>22</v>
      </c>
      <c r="H457">
        <v>113731.25</v>
      </c>
      <c r="I457">
        <v>0</v>
      </c>
      <c r="J457">
        <v>266</v>
      </c>
      <c r="K457">
        <v>370</v>
      </c>
      <c r="L457" t="s">
        <v>40</v>
      </c>
      <c r="M457">
        <v>67</v>
      </c>
      <c r="N457" t="s">
        <v>16</v>
      </c>
      <c r="O457" t="s">
        <v>19</v>
      </c>
      <c r="P457" t="s">
        <v>11</v>
      </c>
      <c r="Q457">
        <v>160</v>
      </c>
      <c r="R457">
        <v>2021</v>
      </c>
      <c r="S457" t="s">
        <v>18</v>
      </c>
      <c r="T457">
        <v>33554.400000000001</v>
      </c>
      <c r="U457">
        <v>266</v>
      </c>
      <c r="V457" t="s">
        <v>20</v>
      </c>
      <c r="W457" t="s">
        <v>19</v>
      </c>
      <c r="X457">
        <v>127615</v>
      </c>
      <c r="Y457">
        <v>975</v>
      </c>
      <c r="Z457">
        <v>325</v>
      </c>
      <c r="AA457">
        <v>7800</v>
      </c>
      <c r="AB457" s="1">
        <v>16.3608974358974</v>
      </c>
      <c r="AC457" t="s">
        <v>48</v>
      </c>
    </row>
    <row r="458" spans="1:29">
      <c r="A458">
        <v>175</v>
      </c>
      <c r="B458" t="s">
        <v>9</v>
      </c>
      <c r="C458" t="s">
        <v>10</v>
      </c>
      <c r="D458" t="s">
        <v>13</v>
      </c>
      <c r="E458">
        <v>170</v>
      </c>
      <c r="F458">
        <v>2019</v>
      </c>
      <c r="G458" t="s">
        <v>12</v>
      </c>
      <c r="H458">
        <v>96691.32</v>
      </c>
      <c r="I458">
        <v>0</v>
      </c>
      <c r="J458">
        <v>335</v>
      </c>
      <c r="K458">
        <v>83</v>
      </c>
      <c r="L458" t="s">
        <v>41</v>
      </c>
      <c r="M458">
        <v>62</v>
      </c>
      <c r="N458" t="s">
        <v>16</v>
      </c>
      <c r="O458" t="s">
        <v>23</v>
      </c>
      <c r="P458" t="s">
        <v>11</v>
      </c>
      <c r="Q458">
        <v>120</v>
      </c>
      <c r="R458">
        <v>2018</v>
      </c>
      <c r="S458" t="s">
        <v>18</v>
      </c>
      <c r="T458">
        <v>24696.31</v>
      </c>
      <c r="U458">
        <v>335</v>
      </c>
      <c r="V458" t="s">
        <v>9</v>
      </c>
      <c r="W458" t="s">
        <v>23</v>
      </c>
      <c r="X458">
        <v>128043.6</v>
      </c>
      <c r="Y458">
        <v>825</v>
      </c>
      <c r="Z458">
        <v>350</v>
      </c>
      <c r="AA458">
        <v>5700</v>
      </c>
      <c r="AB458" s="1">
        <v>22.463789473684201</v>
      </c>
      <c r="AC458" t="s">
        <v>48</v>
      </c>
    </row>
    <row r="459" spans="1:29">
      <c r="B459" t="s">
        <v>108</v>
      </c>
      <c r="C459" t="s">
        <v>108</v>
      </c>
      <c r="L459" t="s">
        <v>107</v>
      </c>
      <c r="U459">
        <v>449</v>
      </c>
      <c r="V459" t="s">
        <v>9</v>
      </c>
      <c r="W459" t="s">
        <v>23</v>
      </c>
      <c r="X459">
        <v>128345.58</v>
      </c>
      <c r="Y459">
        <v>975</v>
      </c>
      <c r="Z459">
        <v>275</v>
      </c>
      <c r="AA459">
        <v>8400</v>
      </c>
      <c r="AB459" s="1">
        <v>15.279235714285701</v>
      </c>
      <c r="AC459" t="s">
        <v>48</v>
      </c>
    </row>
    <row r="460" spans="1:29">
      <c r="B460" t="s">
        <v>108</v>
      </c>
      <c r="C460" t="s">
        <v>108</v>
      </c>
      <c r="L460" t="s">
        <v>107</v>
      </c>
      <c r="U460">
        <v>440</v>
      </c>
      <c r="V460" t="s">
        <v>9</v>
      </c>
      <c r="W460" t="s">
        <v>17</v>
      </c>
      <c r="X460">
        <v>129393.54</v>
      </c>
      <c r="Y460">
        <v>875</v>
      </c>
      <c r="AA460">
        <v>10500</v>
      </c>
      <c r="AB460" s="1">
        <v>12.3231942857142</v>
      </c>
      <c r="AC460" t="s">
        <v>48</v>
      </c>
    </row>
    <row r="461" spans="1:29">
      <c r="B461" t="s">
        <v>108</v>
      </c>
      <c r="C461" t="s">
        <v>108</v>
      </c>
      <c r="L461" t="s">
        <v>107</v>
      </c>
      <c r="U461">
        <v>476</v>
      </c>
      <c r="V461" t="s">
        <v>9</v>
      </c>
      <c r="W461" t="s">
        <v>15</v>
      </c>
      <c r="X461">
        <v>129618.75</v>
      </c>
      <c r="Y461">
        <v>875</v>
      </c>
      <c r="Z461">
        <v>175</v>
      </c>
      <c r="AA461">
        <v>8400</v>
      </c>
      <c r="AB461" s="1">
        <v>15.4308035714285</v>
      </c>
      <c r="AC461" t="s">
        <v>48</v>
      </c>
    </row>
    <row r="462" spans="1:29">
      <c r="A462">
        <v>281</v>
      </c>
      <c r="B462" t="s">
        <v>9</v>
      </c>
      <c r="C462" t="s">
        <v>15</v>
      </c>
      <c r="D462" t="s">
        <v>11</v>
      </c>
      <c r="E462">
        <v>130</v>
      </c>
      <c r="F462">
        <v>2021</v>
      </c>
      <c r="G462" t="s">
        <v>12</v>
      </c>
      <c r="H462">
        <v>127181.58</v>
      </c>
      <c r="I462">
        <v>0</v>
      </c>
      <c r="J462">
        <v>291</v>
      </c>
      <c r="K462">
        <v>491</v>
      </c>
      <c r="L462" t="s">
        <v>40</v>
      </c>
      <c r="M462">
        <v>65</v>
      </c>
      <c r="N462" t="s">
        <v>16</v>
      </c>
      <c r="O462" t="s">
        <v>19</v>
      </c>
      <c r="P462" t="s">
        <v>13</v>
      </c>
      <c r="Q462">
        <v>225</v>
      </c>
      <c r="R462">
        <v>2022</v>
      </c>
      <c r="S462" t="s">
        <v>12</v>
      </c>
      <c r="T462">
        <v>29931.25</v>
      </c>
      <c r="U462">
        <v>291</v>
      </c>
      <c r="V462" t="s">
        <v>20</v>
      </c>
      <c r="W462" t="s">
        <v>15</v>
      </c>
      <c r="X462">
        <v>129960</v>
      </c>
      <c r="Y462">
        <v>825</v>
      </c>
      <c r="Z462">
        <v>325</v>
      </c>
      <c r="AA462">
        <v>6000</v>
      </c>
      <c r="AB462">
        <v>21.66</v>
      </c>
      <c r="AC462" t="s">
        <v>48</v>
      </c>
    </row>
    <row r="463" spans="1:29">
      <c r="A463">
        <v>274</v>
      </c>
      <c r="B463" t="s">
        <v>9</v>
      </c>
      <c r="C463" t="s">
        <v>10</v>
      </c>
      <c r="D463" t="s">
        <v>11</v>
      </c>
      <c r="E463">
        <v>105</v>
      </c>
      <c r="F463">
        <v>2020</v>
      </c>
      <c r="G463" t="s">
        <v>22</v>
      </c>
      <c r="H463">
        <v>104562.5</v>
      </c>
      <c r="I463">
        <v>0</v>
      </c>
      <c r="J463">
        <v>405</v>
      </c>
      <c r="K463">
        <v>90</v>
      </c>
      <c r="L463" t="s">
        <v>41</v>
      </c>
      <c r="M463">
        <v>56</v>
      </c>
      <c r="N463" t="s">
        <v>16</v>
      </c>
      <c r="O463" t="s">
        <v>15</v>
      </c>
      <c r="P463" t="s">
        <v>13</v>
      </c>
      <c r="Q463">
        <v>195</v>
      </c>
      <c r="R463">
        <v>2018</v>
      </c>
      <c r="S463" t="s">
        <v>14</v>
      </c>
      <c r="T463">
        <v>40276.089999999997</v>
      </c>
      <c r="U463">
        <v>405</v>
      </c>
      <c r="V463" t="s">
        <v>20</v>
      </c>
      <c r="W463" t="s">
        <v>23</v>
      </c>
      <c r="X463">
        <v>129996.24</v>
      </c>
      <c r="Y463">
        <v>875</v>
      </c>
      <c r="Z463">
        <v>350</v>
      </c>
      <c r="AA463">
        <v>6300</v>
      </c>
      <c r="AB463" s="1">
        <v>20.634323809523799</v>
      </c>
      <c r="AC463" t="s">
        <v>48</v>
      </c>
    </row>
    <row r="464" spans="1:29">
      <c r="A464">
        <v>181</v>
      </c>
      <c r="B464" t="s">
        <v>9</v>
      </c>
      <c r="C464" t="s">
        <v>19</v>
      </c>
      <c r="D464" t="s">
        <v>11</v>
      </c>
      <c r="E464">
        <v>180</v>
      </c>
      <c r="F464">
        <v>2019</v>
      </c>
      <c r="G464" t="s">
        <v>12</v>
      </c>
      <c r="H464">
        <v>109395.18</v>
      </c>
      <c r="I464">
        <v>0</v>
      </c>
      <c r="J464">
        <v>390</v>
      </c>
      <c r="K464">
        <v>94</v>
      </c>
      <c r="L464" t="s">
        <v>41</v>
      </c>
      <c r="M464">
        <v>56</v>
      </c>
      <c r="N464" t="s">
        <v>16</v>
      </c>
      <c r="O464" t="s">
        <v>19</v>
      </c>
      <c r="P464" t="s">
        <v>13</v>
      </c>
      <c r="Q464">
        <v>180</v>
      </c>
      <c r="R464">
        <v>2018</v>
      </c>
      <c r="S464" t="s">
        <v>12</v>
      </c>
      <c r="T464">
        <v>21810.25</v>
      </c>
      <c r="U464">
        <v>390</v>
      </c>
      <c r="V464" t="s">
        <v>9</v>
      </c>
      <c r="W464" t="s">
        <v>15</v>
      </c>
      <c r="X464">
        <v>130543.2</v>
      </c>
      <c r="Y464">
        <v>875</v>
      </c>
      <c r="Z464">
        <v>375</v>
      </c>
      <c r="AA464">
        <v>6000</v>
      </c>
      <c r="AB464">
        <v>21.757200000000001</v>
      </c>
      <c r="AC464" t="s">
        <v>48</v>
      </c>
    </row>
    <row r="465" spans="1:29">
      <c r="A465">
        <v>442</v>
      </c>
      <c r="B465" t="s">
        <v>16</v>
      </c>
      <c r="C465" t="s">
        <v>10</v>
      </c>
      <c r="D465" t="s">
        <v>11</v>
      </c>
      <c r="E465">
        <v>225</v>
      </c>
      <c r="F465">
        <v>2022</v>
      </c>
      <c r="G465" t="s">
        <v>22</v>
      </c>
      <c r="H465">
        <v>38244.39</v>
      </c>
      <c r="I465">
        <v>0</v>
      </c>
      <c r="J465">
        <v>262</v>
      </c>
      <c r="K465">
        <v>396</v>
      </c>
      <c r="L465" t="s">
        <v>40</v>
      </c>
      <c r="M465">
        <v>67</v>
      </c>
      <c r="N465" t="s">
        <v>16</v>
      </c>
      <c r="O465" t="s">
        <v>23</v>
      </c>
      <c r="P465" t="s">
        <v>13</v>
      </c>
      <c r="Q465">
        <v>185</v>
      </c>
      <c r="R465">
        <v>2021</v>
      </c>
      <c r="S465" t="s">
        <v>14</v>
      </c>
      <c r="T465">
        <v>27524.400000000001</v>
      </c>
      <c r="U465">
        <v>262</v>
      </c>
      <c r="V465" t="s">
        <v>20</v>
      </c>
      <c r="W465" t="s">
        <v>23</v>
      </c>
      <c r="X465">
        <v>130727.5</v>
      </c>
      <c r="Y465">
        <v>875</v>
      </c>
      <c r="Z465">
        <v>375</v>
      </c>
      <c r="AA465">
        <v>6000</v>
      </c>
      <c r="AB465" s="1">
        <v>21.7879166666666</v>
      </c>
      <c r="AC465" t="s">
        <v>48</v>
      </c>
    </row>
    <row r="466" spans="1:29">
      <c r="A466">
        <v>486</v>
      </c>
      <c r="B466" t="s">
        <v>20</v>
      </c>
      <c r="C466" t="s">
        <v>23</v>
      </c>
      <c r="D466" t="s">
        <v>13</v>
      </c>
      <c r="E466">
        <v>205</v>
      </c>
      <c r="F466">
        <v>2022</v>
      </c>
      <c r="G466" t="s">
        <v>22</v>
      </c>
      <c r="H466">
        <v>113963.75</v>
      </c>
      <c r="I466">
        <v>0</v>
      </c>
      <c r="J466">
        <v>265</v>
      </c>
      <c r="K466">
        <v>352</v>
      </c>
      <c r="L466" t="s">
        <v>40</v>
      </c>
      <c r="M466">
        <v>67</v>
      </c>
      <c r="N466" t="s">
        <v>16</v>
      </c>
      <c r="O466" t="s">
        <v>10</v>
      </c>
      <c r="P466" t="s">
        <v>13</v>
      </c>
      <c r="Q466">
        <v>180</v>
      </c>
      <c r="R466">
        <v>2021</v>
      </c>
      <c r="S466" t="s">
        <v>18</v>
      </c>
      <c r="T466" s="1">
        <v>33214.799999999901</v>
      </c>
      <c r="U466">
        <v>265</v>
      </c>
      <c r="V466" t="s">
        <v>9</v>
      </c>
      <c r="W466" t="s">
        <v>23</v>
      </c>
      <c r="X466">
        <v>130821.25</v>
      </c>
      <c r="Y466">
        <v>825</v>
      </c>
      <c r="Z466">
        <v>200</v>
      </c>
      <c r="AA466">
        <v>7500</v>
      </c>
      <c r="AB466" s="1">
        <v>17.442833333333301</v>
      </c>
      <c r="AC466" t="s">
        <v>48</v>
      </c>
    </row>
    <row r="467" spans="1:29">
      <c r="B467" t="s">
        <v>108</v>
      </c>
      <c r="C467" t="s">
        <v>108</v>
      </c>
      <c r="L467" t="s">
        <v>107</v>
      </c>
      <c r="U467">
        <v>457</v>
      </c>
      <c r="V467" t="s">
        <v>9</v>
      </c>
      <c r="W467" t="s">
        <v>19</v>
      </c>
      <c r="X467">
        <v>131089.71</v>
      </c>
      <c r="Y467">
        <v>875</v>
      </c>
      <c r="Z467">
        <v>450</v>
      </c>
      <c r="AA467">
        <v>5100</v>
      </c>
      <c r="AB467" s="1">
        <v>25.7038647058823</v>
      </c>
      <c r="AC467" t="s">
        <v>48</v>
      </c>
    </row>
    <row r="468" spans="1:29">
      <c r="A468">
        <v>53</v>
      </c>
      <c r="B468" t="s">
        <v>9</v>
      </c>
      <c r="C468" t="s">
        <v>23</v>
      </c>
      <c r="D468" t="s">
        <v>11</v>
      </c>
      <c r="E468">
        <v>240</v>
      </c>
      <c r="F468">
        <v>2018</v>
      </c>
      <c r="G468" t="s">
        <v>14</v>
      </c>
      <c r="H468">
        <v>101242.05</v>
      </c>
      <c r="I468">
        <v>0</v>
      </c>
      <c r="J468">
        <v>330</v>
      </c>
      <c r="K468">
        <v>366</v>
      </c>
      <c r="L468" t="s">
        <v>41</v>
      </c>
      <c r="M468">
        <v>63</v>
      </c>
      <c r="N468" t="s">
        <v>16</v>
      </c>
      <c r="O468" t="s">
        <v>19</v>
      </c>
      <c r="P468" t="s">
        <v>11</v>
      </c>
      <c r="Q468">
        <v>150</v>
      </c>
      <c r="R468">
        <v>2021</v>
      </c>
      <c r="S468" t="s">
        <v>12</v>
      </c>
      <c r="T468">
        <v>46180.800000000003</v>
      </c>
      <c r="U468">
        <v>330</v>
      </c>
      <c r="V468" t="s">
        <v>9</v>
      </c>
      <c r="W468" t="s">
        <v>15</v>
      </c>
      <c r="X468">
        <v>131312.4</v>
      </c>
      <c r="Y468">
        <v>975</v>
      </c>
      <c r="Z468">
        <v>325</v>
      </c>
      <c r="AA468">
        <v>7800</v>
      </c>
      <c r="AB468" s="1">
        <v>16.834923076923001</v>
      </c>
      <c r="AC468" t="s">
        <v>48</v>
      </c>
    </row>
    <row r="469" spans="1:29">
      <c r="B469" t="s">
        <v>108</v>
      </c>
      <c r="C469" t="s">
        <v>108</v>
      </c>
      <c r="L469" t="s">
        <v>107</v>
      </c>
      <c r="U469">
        <v>464</v>
      </c>
      <c r="V469" t="s">
        <v>9</v>
      </c>
      <c r="W469" t="s">
        <v>23</v>
      </c>
      <c r="X469">
        <v>131588.75</v>
      </c>
      <c r="Y469">
        <v>975</v>
      </c>
      <c r="Z469">
        <v>200</v>
      </c>
      <c r="AA469">
        <v>9300</v>
      </c>
      <c r="AB469" s="1">
        <v>14.1493279569892</v>
      </c>
      <c r="AC469" t="s">
        <v>48</v>
      </c>
    </row>
    <row r="470" spans="1:29">
      <c r="B470" t="s">
        <v>108</v>
      </c>
      <c r="C470" t="s">
        <v>108</v>
      </c>
      <c r="L470" t="s">
        <v>107</v>
      </c>
      <c r="U470">
        <v>459</v>
      </c>
      <c r="V470" t="s">
        <v>9</v>
      </c>
      <c r="W470" t="s">
        <v>19</v>
      </c>
      <c r="X470">
        <v>132718.23000000001</v>
      </c>
      <c r="Y470">
        <v>825</v>
      </c>
      <c r="Z470">
        <v>275</v>
      </c>
      <c r="AA470">
        <v>6600</v>
      </c>
      <c r="AB470" s="1">
        <v>20.108822727272699</v>
      </c>
      <c r="AC470" t="s">
        <v>48</v>
      </c>
    </row>
    <row r="471" spans="1:29">
      <c r="B471" t="s">
        <v>108</v>
      </c>
      <c r="C471" t="s">
        <v>108</v>
      </c>
      <c r="L471" t="s">
        <v>107</v>
      </c>
      <c r="U471">
        <v>471</v>
      </c>
      <c r="V471" t="s">
        <v>9</v>
      </c>
      <c r="W471" t="s">
        <v>19</v>
      </c>
      <c r="X471">
        <v>133112.5</v>
      </c>
      <c r="Y471">
        <v>825</v>
      </c>
      <c r="Z471">
        <v>325</v>
      </c>
      <c r="AA471">
        <v>6000</v>
      </c>
      <c r="AB471" s="1">
        <v>22.185416666666601</v>
      </c>
      <c r="AC471" t="s">
        <v>48</v>
      </c>
    </row>
    <row r="472" spans="1:29">
      <c r="B472" t="s">
        <v>108</v>
      </c>
      <c r="C472" t="s">
        <v>108</v>
      </c>
      <c r="L472" t="s">
        <v>107</v>
      </c>
      <c r="U472">
        <v>487</v>
      </c>
      <c r="V472" t="s">
        <v>9</v>
      </c>
      <c r="W472" t="s">
        <v>15</v>
      </c>
      <c r="X472">
        <v>133226.25</v>
      </c>
      <c r="Y472">
        <v>875</v>
      </c>
      <c r="Z472">
        <v>350</v>
      </c>
      <c r="AA472">
        <v>6300</v>
      </c>
      <c r="AB472" s="1">
        <v>21.147023809523802</v>
      </c>
      <c r="AC472" t="s">
        <v>48</v>
      </c>
    </row>
    <row r="473" spans="1:29">
      <c r="A473">
        <v>407</v>
      </c>
      <c r="B473" t="s">
        <v>9</v>
      </c>
      <c r="C473" t="s">
        <v>19</v>
      </c>
      <c r="D473" t="s">
        <v>11</v>
      </c>
      <c r="E473">
        <v>235</v>
      </c>
      <c r="F473">
        <v>2022</v>
      </c>
      <c r="G473" t="s">
        <v>12</v>
      </c>
      <c r="H473">
        <v>119570.76</v>
      </c>
      <c r="I473">
        <v>0</v>
      </c>
      <c r="J473">
        <v>260</v>
      </c>
      <c r="K473">
        <v>431</v>
      </c>
      <c r="L473" t="s">
        <v>40</v>
      </c>
      <c r="M473">
        <v>67</v>
      </c>
      <c r="N473" t="s">
        <v>16</v>
      </c>
      <c r="O473" t="s">
        <v>19</v>
      </c>
      <c r="P473" t="s">
        <v>11</v>
      </c>
      <c r="Q473">
        <v>180</v>
      </c>
      <c r="R473">
        <v>2022</v>
      </c>
      <c r="S473" t="s">
        <v>12</v>
      </c>
      <c r="T473">
        <v>27138.720000000001</v>
      </c>
      <c r="U473">
        <v>260</v>
      </c>
      <c r="V473" t="s">
        <v>9</v>
      </c>
      <c r="W473" t="s">
        <v>15</v>
      </c>
      <c r="X473">
        <v>134225</v>
      </c>
      <c r="Y473">
        <v>950</v>
      </c>
      <c r="Z473">
        <v>375</v>
      </c>
      <c r="AA473">
        <v>6900</v>
      </c>
      <c r="AB473" s="1">
        <v>19.452898550724601</v>
      </c>
      <c r="AC473" t="s">
        <v>48</v>
      </c>
    </row>
    <row r="474" spans="1:29">
      <c r="A474">
        <v>396</v>
      </c>
      <c r="B474" t="s">
        <v>16</v>
      </c>
      <c r="C474" t="s">
        <v>23</v>
      </c>
      <c r="D474" t="s">
        <v>13</v>
      </c>
      <c r="E474">
        <v>185</v>
      </c>
      <c r="F474">
        <v>2021</v>
      </c>
      <c r="G474" t="s">
        <v>14</v>
      </c>
      <c r="H474">
        <v>27524.400000000001</v>
      </c>
      <c r="I474">
        <v>0</v>
      </c>
      <c r="J474">
        <v>259</v>
      </c>
      <c r="K474">
        <v>497</v>
      </c>
      <c r="L474" t="s">
        <v>40</v>
      </c>
      <c r="M474">
        <v>67</v>
      </c>
      <c r="N474" t="s">
        <v>16</v>
      </c>
      <c r="O474" t="s">
        <v>17</v>
      </c>
      <c r="P474" t="s">
        <v>11</v>
      </c>
      <c r="Q474">
        <v>165</v>
      </c>
      <c r="R474">
        <v>2022</v>
      </c>
      <c r="S474" t="s">
        <v>12</v>
      </c>
      <c r="T474">
        <v>27095</v>
      </c>
      <c r="U474">
        <v>259</v>
      </c>
      <c r="V474" t="s">
        <v>20</v>
      </c>
      <c r="W474" t="s">
        <v>10</v>
      </c>
      <c r="X474">
        <v>134545</v>
      </c>
      <c r="Y474">
        <v>950</v>
      </c>
      <c r="Z474">
        <v>400</v>
      </c>
      <c r="AA474">
        <v>6600</v>
      </c>
      <c r="AB474" s="1">
        <v>20.385606060606001</v>
      </c>
      <c r="AC474" t="s">
        <v>48</v>
      </c>
    </row>
    <row r="475" spans="1:29">
      <c r="A475">
        <v>333</v>
      </c>
      <c r="B475" t="s">
        <v>16</v>
      </c>
      <c r="C475" t="s">
        <v>15</v>
      </c>
      <c r="D475" t="s">
        <v>13</v>
      </c>
      <c r="E475">
        <v>145</v>
      </c>
      <c r="F475">
        <v>2021</v>
      </c>
      <c r="G475" t="s">
        <v>22</v>
      </c>
      <c r="H475">
        <v>30398.400000000001</v>
      </c>
      <c r="I475">
        <v>0</v>
      </c>
      <c r="J475">
        <v>153</v>
      </c>
      <c r="K475">
        <v>114</v>
      </c>
      <c r="L475" t="s">
        <v>40</v>
      </c>
      <c r="M475">
        <v>76</v>
      </c>
      <c r="N475" t="s">
        <v>9</v>
      </c>
      <c r="O475" t="s">
        <v>23</v>
      </c>
      <c r="P475" t="s">
        <v>13</v>
      </c>
      <c r="Q475">
        <v>185</v>
      </c>
      <c r="R475">
        <v>2018</v>
      </c>
      <c r="S475" t="s">
        <v>22</v>
      </c>
      <c r="T475">
        <v>101104.8</v>
      </c>
      <c r="U475">
        <v>153</v>
      </c>
      <c r="V475" t="s">
        <v>16</v>
      </c>
      <c r="W475" t="s">
        <v>19</v>
      </c>
      <c r="X475" s="1">
        <v>21612.959999999999</v>
      </c>
      <c r="Y475">
        <v>975</v>
      </c>
      <c r="Z475">
        <v>325</v>
      </c>
      <c r="AA475">
        <v>7800</v>
      </c>
      <c r="AB475" s="1">
        <v>2.7708923076923</v>
      </c>
      <c r="AC475" t="s">
        <v>49</v>
      </c>
    </row>
    <row r="476" spans="1:29">
      <c r="A476">
        <v>220</v>
      </c>
      <c r="B476" t="s">
        <v>9</v>
      </c>
      <c r="C476" t="s">
        <v>23</v>
      </c>
      <c r="D476" t="s">
        <v>11</v>
      </c>
      <c r="E476">
        <v>125</v>
      </c>
      <c r="F476">
        <v>2019</v>
      </c>
      <c r="G476" t="s">
        <v>12</v>
      </c>
      <c r="H476">
        <v>93743.22</v>
      </c>
      <c r="I476">
        <v>0</v>
      </c>
      <c r="J476">
        <v>141</v>
      </c>
      <c r="K476">
        <v>8</v>
      </c>
      <c r="L476" t="s">
        <v>40</v>
      </c>
      <c r="M476">
        <v>77</v>
      </c>
      <c r="N476" t="s">
        <v>9</v>
      </c>
      <c r="O476" t="s">
        <v>10</v>
      </c>
      <c r="P476" t="s">
        <v>11</v>
      </c>
      <c r="Q476">
        <v>125</v>
      </c>
      <c r="R476">
        <v>2017</v>
      </c>
      <c r="S476" t="s">
        <v>22</v>
      </c>
      <c r="T476">
        <v>87868</v>
      </c>
      <c r="U476">
        <v>141</v>
      </c>
      <c r="V476" t="s">
        <v>16</v>
      </c>
      <c r="W476" t="s">
        <v>17</v>
      </c>
      <c r="X476" s="1">
        <v>24252.799999999999</v>
      </c>
      <c r="Y476">
        <v>825</v>
      </c>
      <c r="Z476">
        <v>325</v>
      </c>
      <c r="AA476">
        <v>6000</v>
      </c>
      <c r="AB476" s="1">
        <v>4.0421333333333296</v>
      </c>
      <c r="AC476" t="s">
        <v>49</v>
      </c>
    </row>
    <row r="477" spans="1:29">
      <c r="A477">
        <v>417</v>
      </c>
      <c r="B477" t="s">
        <v>16</v>
      </c>
      <c r="C477" t="s">
        <v>19</v>
      </c>
      <c r="D477" t="s">
        <v>13</v>
      </c>
      <c r="E477">
        <v>90</v>
      </c>
      <c r="F477">
        <v>2022</v>
      </c>
      <c r="G477" t="s">
        <v>14</v>
      </c>
      <c r="H477">
        <v>31079.64</v>
      </c>
      <c r="I477">
        <v>0</v>
      </c>
      <c r="J477">
        <v>159</v>
      </c>
      <c r="K477">
        <v>445</v>
      </c>
      <c r="L477" t="s">
        <v>40</v>
      </c>
      <c r="M477">
        <v>75</v>
      </c>
      <c r="N477" t="s">
        <v>16</v>
      </c>
      <c r="O477" t="s">
        <v>23</v>
      </c>
      <c r="P477" t="s">
        <v>11</v>
      </c>
      <c r="Q477">
        <v>210</v>
      </c>
      <c r="R477">
        <v>2022</v>
      </c>
      <c r="S477" t="s">
        <v>22</v>
      </c>
      <c r="T477">
        <v>32845.919999999998</v>
      </c>
      <c r="U477">
        <v>159</v>
      </c>
      <c r="V477" t="s">
        <v>16</v>
      </c>
      <c r="W477" t="s">
        <v>17</v>
      </c>
      <c r="X477" s="1">
        <v>25215.3</v>
      </c>
      <c r="Y477">
        <v>825</v>
      </c>
      <c r="Z477">
        <v>150</v>
      </c>
      <c r="AA477">
        <v>8100</v>
      </c>
      <c r="AB477" s="1">
        <v>3.113</v>
      </c>
      <c r="AC477" t="s">
        <v>49</v>
      </c>
    </row>
    <row r="478" spans="1:29">
      <c r="A478">
        <v>271</v>
      </c>
      <c r="B478" t="s">
        <v>20</v>
      </c>
      <c r="C478" t="s">
        <v>15</v>
      </c>
      <c r="D478" t="s">
        <v>11</v>
      </c>
      <c r="E478">
        <v>225</v>
      </c>
      <c r="F478">
        <v>2020</v>
      </c>
      <c r="G478" t="s">
        <v>22</v>
      </c>
      <c r="H478">
        <v>107876.25</v>
      </c>
      <c r="I478">
        <v>0</v>
      </c>
      <c r="J478">
        <v>198</v>
      </c>
      <c r="K478">
        <v>113</v>
      </c>
      <c r="L478" t="s">
        <v>40</v>
      </c>
      <c r="M478">
        <v>72</v>
      </c>
      <c r="N478" t="s">
        <v>9</v>
      </c>
      <c r="O478" t="s">
        <v>19</v>
      </c>
      <c r="P478" t="s">
        <v>24</v>
      </c>
      <c r="Q478">
        <v>200</v>
      </c>
      <c r="R478">
        <v>2018</v>
      </c>
      <c r="S478" t="s">
        <v>14</v>
      </c>
      <c r="T478">
        <v>94965.15</v>
      </c>
      <c r="U478">
        <v>198</v>
      </c>
      <c r="V478" t="s">
        <v>16</v>
      </c>
      <c r="W478" t="s">
        <v>17</v>
      </c>
      <c r="X478" s="1">
        <v>26142.48</v>
      </c>
      <c r="Y478">
        <v>975</v>
      </c>
      <c r="Z478">
        <v>175</v>
      </c>
      <c r="AA478">
        <v>9600</v>
      </c>
      <c r="AB478" s="1">
        <v>2.7231749999999999</v>
      </c>
      <c r="AC478" t="s">
        <v>49</v>
      </c>
    </row>
    <row r="479" spans="1:29">
      <c r="A479">
        <v>458</v>
      </c>
      <c r="B479" t="s">
        <v>16</v>
      </c>
      <c r="C479" t="s">
        <v>10</v>
      </c>
      <c r="D479" t="s">
        <v>11</v>
      </c>
      <c r="E479">
        <v>180</v>
      </c>
      <c r="F479">
        <v>2022</v>
      </c>
      <c r="G479" t="s">
        <v>22</v>
      </c>
      <c r="H479">
        <v>34838.519999999997</v>
      </c>
      <c r="I479">
        <v>0</v>
      </c>
      <c r="J479">
        <v>118</v>
      </c>
      <c r="K479">
        <v>181</v>
      </c>
      <c r="L479" t="s">
        <v>40</v>
      </c>
      <c r="M479">
        <v>79</v>
      </c>
      <c r="N479" t="s">
        <v>9</v>
      </c>
      <c r="O479" t="s">
        <v>19</v>
      </c>
      <c r="P479" t="s">
        <v>11</v>
      </c>
      <c r="Q479">
        <v>180</v>
      </c>
      <c r="R479">
        <v>2019</v>
      </c>
      <c r="S479" t="s">
        <v>12</v>
      </c>
      <c r="T479">
        <v>109395.18</v>
      </c>
      <c r="U479">
        <v>118</v>
      </c>
      <c r="V479" t="s">
        <v>16</v>
      </c>
      <c r="W479" t="s">
        <v>17</v>
      </c>
      <c r="X479" s="1">
        <v>26424.3</v>
      </c>
      <c r="Y479">
        <v>950</v>
      </c>
      <c r="Z479">
        <v>325</v>
      </c>
      <c r="AA479">
        <v>7500</v>
      </c>
      <c r="AB479" s="1">
        <v>3.5232399999999999</v>
      </c>
      <c r="AC479" t="s">
        <v>49</v>
      </c>
    </row>
    <row r="480" spans="1:29">
      <c r="A480">
        <v>298</v>
      </c>
      <c r="B480" t="s">
        <v>9</v>
      </c>
      <c r="C480" t="s">
        <v>17</v>
      </c>
      <c r="D480" t="s">
        <v>13</v>
      </c>
      <c r="E480">
        <v>155</v>
      </c>
      <c r="F480">
        <v>2021</v>
      </c>
      <c r="G480" t="s">
        <v>18</v>
      </c>
      <c r="H480">
        <v>111411.6</v>
      </c>
      <c r="I480">
        <v>0</v>
      </c>
      <c r="J480">
        <v>249</v>
      </c>
      <c r="K480">
        <v>365</v>
      </c>
      <c r="L480" t="s">
        <v>40</v>
      </c>
      <c r="M480">
        <v>68</v>
      </c>
      <c r="N480" t="s">
        <v>16</v>
      </c>
      <c r="O480" t="s">
        <v>10</v>
      </c>
      <c r="P480" t="s">
        <v>11</v>
      </c>
      <c r="Q480">
        <v>155</v>
      </c>
      <c r="R480">
        <v>2021</v>
      </c>
      <c r="S480" t="s">
        <v>12</v>
      </c>
      <c r="T480">
        <v>33969.599999999999</v>
      </c>
      <c r="U480">
        <v>249</v>
      </c>
      <c r="V480" t="s">
        <v>16</v>
      </c>
      <c r="W480" t="s">
        <v>17</v>
      </c>
      <c r="X480" s="1">
        <v>27244.12</v>
      </c>
      <c r="Y480">
        <v>950</v>
      </c>
      <c r="Z480">
        <v>225</v>
      </c>
      <c r="AA480">
        <v>8700</v>
      </c>
      <c r="AB480" s="1">
        <v>3.1315080459770099</v>
      </c>
      <c r="AC480" t="s">
        <v>49</v>
      </c>
    </row>
    <row r="481" spans="1:29">
      <c r="A481">
        <v>108</v>
      </c>
      <c r="B481" t="s">
        <v>16</v>
      </c>
      <c r="C481" t="s">
        <v>15</v>
      </c>
      <c r="D481" t="s">
        <v>11</v>
      </c>
      <c r="E481">
        <v>185</v>
      </c>
      <c r="F481">
        <v>2018</v>
      </c>
      <c r="G481" t="s">
        <v>12</v>
      </c>
      <c r="H481">
        <v>37694.910000000003</v>
      </c>
      <c r="I481">
        <v>0</v>
      </c>
      <c r="J481">
        <v>177</v>
      </c>
      <c r="K481">
        <v>379</v>
      </c>
      <c r="L481" t="s">
        <v>40</v>
      </c>
      <c r="M481">
        <v>74</v>
      </c>
      <c r="N481" t="s">
        <v>9</v>
      </c>
      <c r="O481" t="s">
        <v>15</v>
      </c>
      <c r="P481" t="s">
        <v>11</v>
      </c>
      <c r="Q481">
        <v>100</v>
      </c>
      <c r="R481">
        <v>2021</v>
      </c>
      <c r="S481" t="s">
        <v>14</v>
      </c>
      <c r="T481">
        <v>104562</v>
      </c>
      <c r="U481">
        <v>177</v>
      </c>
      <c r="V481" t="s">
        <v>16</v>
      </c>
      <c r="W481" t="s">
        <v>19</v>
      </c>
      <c r="X481" s="1">
        <v>28757.8</v>
      </c>
      <c r="Y481">
        <v>825</v>
      </c>
      <c r="Z481">
        <v>325</v>
      </c>
      <c r="AA481">
        <v>6000</v>
      </c>
      <c r="AB481" s="1">
        <v>4.7929666666666604</v>
      </c>
      <c r="AC481" t="s">
        <v>49</v>
      </c>
    </row>
    <row r="482" spans="1:29">
      <c r="A482">
        <v>314</v>
      </c>
      <c r="B482" t="s">
        <v>16</v>
      </c>
      <c r="C482" t="s">
        <v>10</v>
      </c>
      <c r="D482" t="s">
        <v>11</v>
      </c>
      <c r="E482">
        <v>165</v>
      </c>
      <c r="F482">
        <v>2021</v>
      </c>
      <c r="G482" t="s">
        <v>14</v>
      </c>
      <c r="H482">
        <v>30674.400000000001</v>
      </c>
      <c r="I482">
        <v>0</v>
      </c>
      <c r="J482">
        <v>251</v>
      </c>
      <c r="K482">
        <v>349</v>
      </c>
      <c r="L482" t="s">
        <v>40</v>
      </c>
      <c r="M482">
        <v>68</v>
      </c>
      <c r="N482" t="s">
        <v>16</v>
      </c>
      <c r="O482" t="s">
        <v>23</v>
      </c>
      <c r="P482" t="s">
        <v>11</v>
      </c>
      <c r="Q482">
        <v>120</v>
      </c>
      <c r="R482">
        <v>2021</v>
      </c>
      <c r="S482" t="s">
        <v>12</v>
      </c>
      <c r="T482">
        <v>37940.400000000001</v>
      </c>
      <c r="U482">
        <v>251</v>
      </c>
      <c r="V482" t="s">
        <v>16</v>
      </c>
      <c r="W482" t="s">
        <v>15</v>
      </c>
      <c r="X482" s="1">
        <v>28901.96</v>
      </c>
      <c r="Y482">
        <v>875</v>
      </c>
      <c r="Z482">
        <v>150</v>
      </c>
      <c r="AA482">
        <v>8700</v>
      </c>
      <c r="AB482" s="1">
        <v>3.3220643678160902</v>
      </c>
      <c r="AC482" t="s">
        <v>49</v>
      </c>
    </row>
    <row r="483" spans="1:29">
      <c r="A483">
        <v>31</v>
      </c>
      <c r="B483" t="s">
        <v>9</v>
      </c>
      <c r="C483" t="s">
        <v>15</v>
      </c>
      <c r="D483" t="s">
        <v>13</v>
      </c>
      <c r="E483">
        <v>145</v>
      </c>
      <c r="F483">
        <v>2017</v>
      </c>
      <c r="G483" t="s">
        <v>12</v>
      </c>
      <c r="H483">
        <v>88961</v>
      </c>
      <c r="I483">
        <v>0</v>
      </c>
      <c r="J483">
        <v>170</v>
      </c>
      <c r="K483">
        <v>188</v>
      </c>
      <c r="L483" t="s">
        <v>40</v>
      </c>
      <c r="M483">
        <v>75</v>
      </c>
      <c r="N483" t="s">
        <v>9</v>
      </c>
      <c r="O483" t="s">
        <v>10</v>
      </c>
      <c r="P483" t="s">
        <v>13</v>
      </c>
      <c r="Q483">
        <v>125</v>
      </c>
      <c r="R483">
        <v>2019</v>
      </c>
      <c r="S483" t="s">
        <v>22</v>
      </c>
      <c r="T483">
        <v>112683.3</v>
      </c>
      <c r="U483">
        <v>170</v>
      </c>
      <c r="V483" t="s">
        <v>16</v>
      </c>
      <c r="W483" t="s">
        <v>15</v>
      </c>
      <c r="X483" s="1">
        <v>30138.48</v>
      </c>
      <c r="Y483">
        <v>825</v>
      </c>
      <c r="Z483">
        <v>250</v>
      </c>
      <c r="AA483">
        <v>6900</v>
      </c>
      <c r="AB483" s="1">
        <v>4.3678956521739103</v>
      </c>
      <c r="AC483" t="s">
        <v>49</v>
      </c>
    </row>
    <row r="484" spans="1:29">
      <c r="A484">
        <v>408</v>
      </c>
      <c r="B484" t="s">
        <v>9</v>
      </c>
      <c r="C484" t="s">
        <v>15</v>
      </c>
      <c r="D484" t="s">
        <v>11</v>
      </c>
      <c r="E484">
        <v>190</v>
      </c>
      <c r="F484">
        <v>2022</v>
      </c>
      <c r="G484" t="s">
        <v>18</v>
      </c>
      <c r="H484">
        <v>101814.48</v>
      </c>
      <c r="I484">
        <v>0</v>
      </c>
      <c r="J484">
        <v>209</v>
      </c>
      <c r="K484">
        <v>179</v>
      </c>
      <c r="L484" t="s">
        <v>40</v>
      </c>
      <c r="M484">
        <v>71</v>
      </c>
      <c r="N484" t="s">
        <v>9</v>
      </c>
      <c r="O484" t="s">
        <v>23</v>
      </c>
      <c r="P484" t="s">
        <v>13</v>
      </c>
      <c r="Q484">
        <v>95</v>
      </c>
      <c r="R484">
        <v>2019</v>
      </c>
      <c r="S484" t="s">
        <v>12</v>
      </c>
      <c r="T484">
        <v>95797.08</v>
      </c>
      <c r="U484">
        <v>209</v>
      </c>
      <c r="V484" t="s">
        <v>16</v>
      </c>
      <c r="W484" t="s">
        <v>17</v>
      </c>
      <c r="X484" s="1">
        <v>30456.98</v>
      </c>
      <c r="Y484">
        <v>825</v>
      </c>
      <c r="Z484">
        <v>200</v>
      </c>
      <c r="AA484">
        <v>7500</v>
      </c>
      <c r="AB484" s="1">
        <v>4.0609306666666596</v>
      </c>
      <c r="AC484" t="s">
        <v>49</v>
      </c>
    </row>
    <row r="485" spans="1:29">
      <c r="A485">
        <v>224</v>
      </c>
      <c r="B485" t="s">
        <v>9</v>
      </c>
      <c r="C485" t="s">
        <v>15</v>
      </c>
      <c r="D485" t="s">
        <v>11</v>
      </c>
      <c r="E485">
        <v>135</v>
      </c>
      <c r="F485">
        <v>2019</v>
      </c>
      <c r="G485" t="s">
        <v>22</v>
      </c>
      <c r="H485">
        <v>95760.4</v>
      </c>
      <c r="I485">
        <v>0</v>
      </c>
      <c r="J485">
        <v>285</v>
      </c>
      <c r="K485">
        <v>48</v>
      </c>
      <c r="L485" t="s">
        <v>40</v>
      </c>
      <c r="M485">
        <v>67</v>
      </c>
      <c r="N485" t="s">
        <v>9</v>
      </c>
      <c r="O485" t="s">
        <v>19</v>
      </c>
      <c r="P485" t="s">
        <v>13</v>
      </c>
      <c r="Q485">
        <v>120</v>
      </c>
      <c r="R485">
        <v>2018</v>
      </c>
      <c r="S485" t="s">
        <v>14</v>
      </c>
      <c r="T485">
        <v>95682.3</v>
      </c>
      <c r="U485">
        <v>285</v>
      </c>
      <c r="V485" t="s">
        <v>16</v>
      </c>
      <c r="W485" t="s">
        <v>19</v>
      </c>
      <c r="X485" s="1">
        <v>30799.179999999898</v>
      </c>
      <c r="Y485">
        <v>825</v>
      </c>
      <c r="Z485">
        <v>350</v>
      </c>
      <c r="AA485">
        <v>5700</v>
      </c>
      <c r="AB485" s="1">
        <v>5.4033649122806997</v>
      </c>
      <c r="AC485" t="s">
        <v>47</v>
      </c>
    </row>
    <row r="486" spans="1:29">
      <c r="A486">
        <v>292</v>
      </c>
      <c r="B486" t="s">
        <v>16</v>
      </c>
      <c r="C486" t="s">
        <v>23</v>
      </c>
      <c r="D486" t="s">
        <v>11</v>
      </c>
      <c r="E486">
        <v>215</v>
      </c>
      <c r="F486">
        <v>2021</v>
      </c>
      <c r="G486" t="s">
        <v>12</v>
      </c>
      <c r="H486">
        <v>36832.800000000003</v>
      </c>
      <c r="I486">
        <v>0</v>
      </c>
      <c r="J486">
        <v>95</v>
      </c>
      <c r="K486">
        <v>322</v>
      </c>
      <c r="L486" t="s">
        <v>40</v>
      </c>
      <c r="M486">
        <v>80</v>
      </c>
      <c r="N486" t="s">
        <v>9</v>
      </c>
      <c r="O486" t="s">
        <v>19</v>
      </c>
      <c r="P486" t="s">
        <v>13</v>
      </c>
      <c r="Q486">
        <v>200</v>
      </c>
      <c r="R486">
        <v>2021</v>
      </c>
      <c r="S486" t="s">
        <v>14</v>
      </c>
      <c r="T486">
        <v>105723.6</v>
      </c>
      <c r="U486">
        <v>95</v>
      </c>
      <c r="V486" t="s">
        <v>16</v>
      </c>
      <c r="W486" t="s">
        <v>17</v>
      </c>
      <c r="X486" s="1">
        <v>31161.62</v>
      </c>
      <c r="Y486">
        <v>975</v>
      </c>
      <c r="Z486">
        <v>250</v>
      </c>
      <c r="AA486">
        <v>8700</v>
      </c>
      <c r="AB486" s="1">
        <v>3.5817954022988499</v>
      </c>
      <c r="AC486" t="s">
        <v>49</v>
      </c>
    </row>
    <row r="487" spans="1:29">
      <c r="A487">
        <v>143</v>
      </c>
      <c r="B487" t="s">
        <v>16</v>
      </c>
      <c r="C487" t="s">
        <v>17</v>
      </c>
      <c r="D487" t="s">
        <v>13</v>
      </c>
      <c r="E487">
        <v>160</v>
      </c>
      <c r="F487">
        <v>2019</v>
      </c>
      <c r="G487" t="s">
        <v>12</v>
      </c>
      <c r="H487">
        <v>40195.440000000002</v>
      </c>
      <c r="I487">
        <v>0</v>
      </c>
      <c r="J487">
        <v>386</v>
      </c>
      <c r="K487">
        <v>63</v>
      </c>
      <c r="L487" t="s">
        <v>41</v>
      </c>
      <c r="M487">
        <v>57</v>
      </c>
      <c r="N487" t="s">
        <v>16</v>
      </c>
      <c r="O487" t="s">
        <v>17</v>
      </c>
      <c r="P487" t="s">
        <v>11</v>
      </c>
      <c r="Q487">
        <v>150</v>
      </c>
      <c r="R487">
        <v>2018</v>
      </c>
      <c r="S487" t="s">
        <v>22</v>
      </c>
      <c r="T487">
        <v>23647.52</v>
      </c>
      <c r="U487">
        <v>386</v>
      </c>
      <c r="V487" t="s">
        <v>16</v>
      </c>
      <c r="W487" t="s">
        <v>19</v>
      </c>
      <c r="X487" s="1">
        <v>32908.799999999901</v>
      </c>
      <c r="Y487">
        <v>875</v>
      </c>
      <c r="Z487">
        <v>350</v>
      </c>
      <c r="AA487">
        <v>6300</v>
      </c>
      <c r="AB487" s="1">
        <v>5.2236190476190396</v>
      </c>
      <c r="AC487" t="s">
        <v>47</v>
      </c>
    </row>
    <row r="488" spans="1:29">
      <c r="A488">
        <v>346</v>
      </c>
      <c r="B488" t="s">
        <v>16</v>
      </c>
      <c r="C488" t="s">
        <v>23</v>
      </c>
      <c r="D488" t="s">
        <v>13</v>
      </c>
      <c r="E488">
        <v>195</v>
      </c>
      <c r="F488">
        <v>2021</v>
      </c>
      <c r="G488" t="s">
        <v>12</v>
      </c>
      <c r="H488">
        <v>41354.400000000001</v>
      </c>
      <c r="I488">
        <v>0</v>
      </c>
      <c r="J488">
        <v>352</v>
      </c>
      <c r="K488">
        <v>87</v>
      </c>
      <c r="L488" t="s">
        <v>41</v>
      </c>
      <c r="M488">
        <v>61</v>
      </c>
      <c r="N488" t="s">
        <v>16</v>
      </c>
      <c r="O488" t="s">
        <v>10</v>
      </c>
      <c r="P488" t="s">
        <v>13</v>
      </c>
      <c r="Q488">
        <v>195</v>
      </c>
      <c r="R488">
        <v>2018</v>
      </c>
      <c r="S488" t="s">
        <v>22</v>
      </c>
      <c r="T488">
        <v>26408.17</v>
      </c>
      <c r="U488">
        <v>352</v>
      </c>
      <c r="V488" t="s">
        <v>16</v>
      </c>
      <c r="W488" t="s">
        <v>10</v>
      </c>
      <c r="X488" s="1">
        <v>33214.799999999901</v>
      </c>
      <c r="Y488">
        <v>825</v>
      </c>
      <c r="Z488">
        <v>175</v>
      </c>
      <c r="AA488">
        <v>7800</v>
      </c>
      <c r="AB488" s="1">
        <v>4.2583076923076897</v>
      </c>
      <c r="AC488" t="s">
        <v>49</v>
      </c>
    </row>
    <row r="489" spans="1:29">
      <c r="A489">
        <v>441</v>
      </c>
      <c r="B489" t="s">
        <v>16</v>
      </c>
      <c r="C489" t="s">
        <v>17</v>
      </c>
      <c r="D489" t="s">
        <v>11</v>
      </c>
      <c r="E489">
        <v>210</v>
      </c>
      <c r="F489">
        <v>2022</v>
      </c>
      <c r="G489" t="s">
        <v>18</v>
      </c>
      <c r="H489">
        <v>46593.63</v>
      </c>
      <c r="I489">
        <v>0</v>
      </c>
      <c r="J489">
        <v>162</v>
      </c>
      <c r="K489">
        <v>442</v>
      </c>
      <c r="L489" t="s">
        <v>40</v>
      </c>
      <c r="M489">
        <v>75</v>
      </c>
      <c r="N489" t="s">
        <v>16</v>
      </c>
      <c r="O489" t="s">
        <v>10</v>
      </c>
      <c r="P489" t="s">
        <v>11</v>
      </c>
      <c r="Q489">
        <v>225</v>
      </c>
      <c r="R489">
        <v>2022</v>
      </c>
      <c r="S489" t="s">
        <v>22</v>
      </c>
      <c r="T489">
        <v>38244.39</v>
      </c>
      <c r="U489">
        <v>162</v>
      </c>
      <c r="V489" t="s">
        <v>16</v>
      </c>
      <c r="W489" t="s">
        <v>17</v>
      </c>
      <c r="X489" s="1">
        <v>34003.74</v>
      </c>
      <c r="Y489">
        <v>825</v>
      </c>
      <c r="AA489">
        <v>9900</v>
      </c>
      <c r="AB489" s="1">
        <v>3.4347212121212101</v>
      </c>
      <c r="AC489" t="s">
        <v>49</v>
      </c>
    </row>
    <row r="490" spans="1:29">
      <c r="A490">
        <v>58</v>
      </c>
      <c r="B490" t="s">
        <v>20</v>
      </c>
      <c r="C490" t="s">
        <v>17</v>
      </c>
      <c r="D490" t="s">
        <v>11</v>
      </c>
      <c r="E490">
        <v>200</v>
      </c>
      <c r="F490">
        <v>2018</v>
      </c>
      <c r="G490" t="s">
        <v>14</v>
      </c>
      <c r="H490">
        <v>99344.53</v>
      </c>
      <c r="I490">
        <v>0</v>
      </c>
      <c r="J490">
        <v>123</v>
      </c>
      <c r="K490">
        <v>207</v>
      </c>
      <c r="L490" t="s">
        <v>40</v>
      </c>
      <c r="M490">
        <v>79</v>
      </c>
      <c r="N490" t="s">
        <v>9</v>
      </c>
      <c r="O490" t="s">
        <v>17</v>
      </c>
      <c r="P490" t="s">
        <v>11</v>
      </c>
      <c r="Q490">
        <v>180</v>
      </c>
      <c r="R490">
        <v>2019</v>
      </c>
      <c r="S490" t="s">
        <v>18</v>
      </c>
      <c r="T490">
        <v>115989.5</v>
      </c>
      <c r="U490">
        <v>123</v>
      </c>
      <c r="V490" t="s">
        <v>16</v>
      </c>
      <c r="W490" t="s">
        <v>23</v>
      </c>
      <c r="X490" s="1">
        <v>35134.559999999998</v>
      </c>
      <c r="Y490">
        <v>950</v>
      </c>
      <c r="Z490">
        <v>150</v>
      </c>
      <c r="AA490">
        <v>9600</v>
      </c>
      <c r="AB490" s="1">
        <v>3.65985</v>
      </c>
      <c r="AC490" t="s">
        <v>49</v>
      </c>
    </row>
    <row r="491" spans="1:29">
      <c r="A491">
        <v>15</v>
      </c>
      <c r="B491" t="s">
        <v>9</v>
      </c>
      <c r="C491" t="s">
        <v>10</v>
      </c>
      <c r="D491" t="s">
        <v>13</v>
      </c>
      <c r="E491">
        <v>240</v>
      </c>
      <c r="F491">
        <v>2017</v>
      </c>
      <c r="G491" t="s">
        <v>22</v>
      </c>
      <c r="H491">
        <v>102348</v>
      </c>
      <c r="I491">
        <v>0</v>
      </c>
      <c r="J491">
        <v>218</v>
      </c>
      <c r="K491">
        <v>404</v>
      </c>
      <c r="L491" t="s">
        <v>40</v>
      </c>
      <c r="M491">
        <v>70</v>
      </c>
      <c r="N491" t="s">
        <v>16</v>
      </c>
      <c r="O491" t="s">
        <v>19</v>
      </c>
      <c r="P491" t="s">
        <v>11</v>
      </c>
      <c r="Q491">
        <v>210</v>
      </c>
      <c r="R491">
        <v>2021</v>
      </c>
      <c r="S491" t="s">
        <v>22</v>
      </c>
      <c r="T491">
        <v>24715.200000000001</v>
      </c>
      <c r="U491">
        <v>218</v>
      </c>
      <c r="V491" t="s">
        <v>16</v>
      </c>
      <c r="W491" t="s">
        <v>15</v>
      </c>
      <c r="X491" s="1">
        <v>35850.6</v>
      </c>
      <c r="Y491">
        <v>825</v>
      </c>
      <c r="Z491">
        <v>350</v>
      </c>
      <c r="AA491">
        <v>5700</v>
      </c>
      <c r="AB491" s="1">
        <v>6.2895789473684198</v>
      </c>
      <c r="AC491" t="s">
        <v>47</v>
      </c>
    </row>
    <row r="492" spans="1:29">
      <c r="A492">
        <v>46</v>
      </c>
      <c r="B492" t="s">
        <v>16</v>
      </c>
      <c r="C492" t="s">
        <v>17</v>
      </c>
      <c r="D492" t="s">
        <v>11</v>
      </c>
      <c r="E492">
        <v>195</v>
      </c>
      <c r="F492">
        <v>2018</v>
      </c>
      <c r="G492" t="s">
        <v>14</v>
      </c>
      <c r="H492">
        <v>23549.4</v>
      </c>
      <c r="I492">
        <v>0</v>
      </c>
      <c r="J492">
        <v>374</v>
      </c>
      <c r="K492">
        <v>248</v>
      </c>
      <c r="L492" t="s">
        <v>41</v>
      </c>
      <c r="M492">
        <v>59</v>
      </c>
      <c r="N492" t="s">
        <v>16</v>
      </c>
      <c r="O492" t="s">
        <v>19</v>
      </c>
      <c r="P492" t="s">
        <v>13</v>
      </c>
      <c r="Q492">
        <v>160</v>
      </c>
      <c r="R492">
        <v>2019</v>
      </c>
      <c r="S492" t="s">
        <v>22</v>
      </c>
      <c r="T492">
        <v>38049.480000000003</v>
      </c>
      <c r="U492">
        <v>374</v>
      </c>
      <c r="V492" t="s">
        <v>16</v>
      </c>
      <c r="W492" t="s">
        <v>17</v>
      </c>
      <c r="X492" s="1">
        <v>35860.799999999901</v>
      </c>
      <c r="Y492">
        <v>975</v>
      </c>
      <c r="AA492">
        <v>11700</v>
      </c>
      <c r="AB492" s="1">
        <v>3.06502564102564</v>
      </c>
      <c r="AC492" t="s">
        <v>49</v>
      </c>
    </row>
    <row r="493" spans="1:29">
      <c r="A493">
        <v>3</v>
      </c>
      <c r="B493" t="s">
        <v>9</v>
      </c>
      <c r="C493" t="s">
        <v>15</v>
      </c>
      <c r="D493" t="s">
        <v>13</v>
      </c>
      <c r="E493">
        <v>110</v>
      </c>
      <c r="F493">
        <v>2017</v>
      </c>
      <c r="G493" t="s">
        <v>14</v>
      </c>
      <c r="H493">
        <v>104673</v>
      </c>
      <c r="I493">
        <v>0</v>
      </c>
      <c r="J493">
        <v>371</v>
      </c>
      <c r="K493">
        <v>418</v>
      </c>
      <c r="L493" t="s">
        <v>41</v>
      </c>
      <c r="M493">
        <v>59</v>
      </c>
      <c r="N493" t="s">
        <v>16</v>
      </c>
      <c r="O493" t="s">
        <v>15</v>
      </c>
      <c r="P493" t="s">
        <v>11</v>
      </c>
      <c r="Q493">
        <v>115</v>
      </c>
      <c r="R493">
        <v>2022</v>
      </c>
      <c r="S493" t="s">
        <v>18</v>
      </c>
      <c r="T493">
        <v>31531.05</v>
      </c>
      <c r="U493">
        <v>371</v>
      </c>
      <c r="V493" t="s">
        <v>16</v>
      </c>
      <c r="W493" t="s">
        <v>23</v>
      </c>
      <c r="X493" s="1">
        <v>35968.799999999901</v>
      </c>
      <c r="Y493">
        <v>825</v>
      </c>
      <c r="Z493">
        <v>350</v>
      </c>
      <c r="AA493">
        <v>5700</v>
      </c>
      <c r="AB493" s="1">
        <v>6.3103157894736803</v>
      </c>
      <c r="AC493" t="s">
        <v>47</v>
      </c>
    </row>
    <row r="494" spans="1:29">
      <c r="A494">
        <v>102</v>
      </c>
      <c r="B494" t="s">
        <v>9</v>
      </c>
      <c r="C494" t="s">
        <v>17</v>
      </c>
      <c r="D494" t="s">
        <v>13</v>
      </c>
      <c r="E494">
        <v>150</v>
      </c>
      <c r="F494">
        <v>2018</v>
      </c>
      <c r="G494" t="s">
        <v>22</v>
      </c>
      <c r="H494">
        <v>101430</v>
      </c>
      <c r="I494">
        <v>0</v>
      </c>
      <c r="J494">
        <v>128</v>
      </c>
      <c r="K494">
        <v>276</v>
      </c>
      <c r="L494" t="s">
        <v>40</v>
      </c>
      <c r="M494">
        <v>79</v>
      </c>
      <c r="N494" t="s">
        <v>9</v>
      </c>
      <c r="O494" t="s">
        <v>15</v>
      </c>
      <c r="P494" t="s">
        <v>11</v>
      </c>
      <c r="Q494">
        <v>195</v>
      </c>
      <c r="R494">
        <v>2020</v>
      </c>
      <c r="S494" t="s">
        <v>18</v>
      </c>
      <c r="T494">
        <v>122871.25</v>
      </c>
      <c r="U494">
        <v>128</v>
      </c>
      <c r="V494" t="s">
        <v>16</v>
      </c>
      <c r="W494" t="s">
        <v>15</v>
      </c>
      <c r="X494" s="1">
        <v>36090.879999999997</v>
      </c>
      <c r="Y494">
        <v>825</v>
      </c>
      <c r="Z494">
        <v>325</v>
      </c>
      <c r="AA494">
        <v>6000</v>
      </c>
      <c r="AB494" s="1">
        <v>6.0151466666666602</v>
      </c>
      <c r="AC494" t="s">
        <v>47</v>
      </c>
    </row>
    <row r="495" spans="1:29">
      <c r="A495">
        <v>285</v>
      </c>
      <c r="B495" t="s">
        <v>16</v>
      </c>
      <c r="C495" t="s">
        <v>19</v>
      </c>
      <c r="D495" t="s">
        <v>11</v>
      </c>
      <c r="E495">
        <v>215</v>
      </c>
      <c r="F495">
        <v>2021</v>
      </c>
      <c r="G495" t="s">
        <v>18</v>
      </c>
      <c r="H495" s="1">
        <v>30799.179999999898</v>
      </c>
      <c r="I495">
        <v>0</v>
      </c>
      <c r="J495">
        <v>246</v>
      </c>
      <c r="K495">
        <v>398</v>
      </c>
      <c r="L495" t="s">
        <v>40</v>
      </c>
      <c r="M495">
        <v>69</v>
      </c>
      <c r="N495" t="s">
        <v>9</v>
      </c>
      <c r="O495" t="s">
        <v>19</v>
      </c>
      <c r="P495" t="s">
        <v>13</v>
      </c>
      <c r="Q495">
        <v>105</v>
      </c>
      <c r="R495">
        <v>2021</v>
      </c>
      <c r="S495" t="s">
        <v>22</v>
      </c>
      <c r="T495">
        <v>108384</v>
      </c>
      <c r="U495">
        <v>246</v>
      </c>
      <c r="V495" t="s">
        <v>16</v>
      </c>
      <c r="W495" t="s">
        <v>17</v>
      </c>
      <c r="X495" s="1">
        <v>37101.06</v>
      </c>
      <c r="Y495">
        <v>975</v>
      </c>
      <c r="Z495">
        <v>375</v>
      </c>
      <c r="AA495">
        <v>7200</v>
      </c>
      <c r="AB495" s="1">
        <v>5.1529249999999998</v>
      </c>
      <c r="AC495" t="s">
        <v>47</v>
      </c>
    </row>
    <row r="496" spans="1:29">
      <c r="A496">
        <v>261</v>
      </c>
      <c r="B496" t="s">
        <v>16</v>
      </c>
      <c r="C496" t="s">
        <v>10</v>
      </c>
      <c r="D496" t="s">
        <v>11</v>
      </c>
      <c r="E496">
        <v>115</v>
      </c>
      <c r="F496">
        <v>2020</v>
      </c>
      <c r="G496" t="s">
        <v>18</v>
      </c>
      <c r="H496">
        <v>35066.25</v>
      </c>
      <c r="I496">
        <v>0</v>
      </c>
      <c r="J496">
        <v>243</v>
      </c>
      <c r="K496">
        <v>242</v>
      </c>
      <c r="L496" t="s">
        <v>40</v>
      </c>
      <c r="M496">
        <v>69</v>
      </c>
      <c r="N496" t="s">
        <v>20</v>
      </c>
      <c r="O496" t="s">
        <v>15</v>
      </c>
      <c r="P496" t="s">
        <v>21</v>
      </c>
      <c r="Q496">
        <v>160</v>
      </c>
      <c r="R496">
        <v>2019</v>
      </c>
      <c r="S496" t="s">
        <v>22</v>
      </c>
      <c r="T496">
        <v>100640.64</v>
      </c>
      <c r="U496">
        <v>243</v>
      </c>
      <c r="V496" t="s">
        <v>16</v>
      </c>
      <c r="W496" t="s">
        <v>19</v>
      </c>
      <c r="X496" s="1">
        <v>39854.1</v>
      </c>
      <c r="Y496">
        <v>825</v>
      </c>
      <c r="Z496">
        <v>300</v>
      </c>
      <c r="AA496">
        <v>6300</v>
      </c>
      <c r="AB496">
        <v>6.3260476190476203</v>
      </c>
      <c r="AC496" t="s">
        <v>47</v>
      </c>
    </row>
    <row r="497" spans="1:29">
      <c r="A497">
        <v>350</v>
      </c>
      <c r="B497" t="s">
        <v>16</v>
      </c>
      <c r="C497" t="s">
        <v>19</v>
      </c>
      <c r="D497" t="s">
        <v>11</v>
      </c>
      <c r="E497">
        <v>220</v>
      </c>
      <c r="F497">
        <v>2021</v>
      </c>
      <c r="G497" t="s">
        <v>14</v>
      </c>
      <c r="H497">
        <v>27264</v>
      </c>
      <c r="I497">
        <v>0</v>
      </c>
      <c r="J497">
        <v>100</v>
      </c>
      <c r="K497">
        <v>337</v>
      </c>
      <c r="L497" t="s">
        <v>40</v>
      </c>
      <c r="M497">
        <v>80</v>
      </c>
      <c r="N497" t="s">
        <v>9</v>
      </c>
      <c r="O497" t="s">
        <v>15</v>
      </c>
      <c r="P497" t="s">
        <v>13</v>
      </c>
      <c r="Q497">
        <v>220</v>
      </c>
      <c r="R497">
        <v>2021</v>
      </c>
      <c r="S497" t="s">
        <v>12</v>
      </c>
      <c r="T497">
        <v>121363.2</v>
      </c>
      <c r="U497">
        <v>100</v>
      </c>
      <c r="V497" t="s">
        <v>16</v>
      </c>
      <c r="W497" t="s">
        <v>23</v>
      </c>
      <c r="X497" s="1">
        <v>40964.559999999998</v>
      </c>
      <c r="Y497">
        <v>875</v>
      </c>
      <c r="AA497">
        <v>10500</v>
      </c>
      <c r="AB497" s="1">
        <v>3.9013866666666601</v>
      </c>
      <c r="AC497" t="s">
        <v>49</v>
      </c>
    </row>
    <row r="498" spans="1:29">
      <c r="A498">
        <v>61</v>
      </c>
      <c r="B498" t="s">
        <v>16</v>
      </c>
      <c r="C498" t="s">
        <v>10</v>
      </c>
      <c r="D498" t="s">
        <v>11</v>
      </c>
      <c r="E498">
        <v>225</v>
      </c>
      <c r="F498">
        <v>2018</v>
      </c>
      <c r="G498" t="s">
        <v>18</v>
      </c>
      <c r="H498">
        <v>21848.400000000001</v>
      </c>
      <c r="I498">
        <v>0</v>
      </c>
      <c r="J498">
        <v>222</v>
      </c>
      <c r="K498">
        <v>386</v>
      </c>
      <c r="L498" t="s">
        <v>40</v>
      </c>
      <c r="M498">
        <v>70</v>
      </c>
      <c r="N498" t="s">
        <v>16</v>
      </c>
      <c r="O498" t="s">
        <v>19</v>
      </c>
      <c r="P498" t="s">
        <v>11</v>
      </c>
      <c r="Q498">
        <v>245</v>
      </c>
      <c r="R498">
        <v>2021</v>
      </c>
      <c r="S498" t="s">
        <v>12</v>
      </c>
      <c r="T498" s="1">
        <v>32908.799999999901</v>
      </c>
      <c r="U498">
        <v>222</v>
      </c>
      <c r="V498" t="s">
        <v>16</v>
      </c>
      <c r="W498" t="s">
        <v>23</v>
      </c>
      <c r="X498" s="1">
        <v>41977.06</v>
      </c>
      <c r="Y498">
        <v>825</v>
      </c>
      <c r="Z498">
        <v>225</v>
      </c>
      <c r="AA498">
        <v>7200</v>
      </c>
      <c r="AB498" s="1">
        <v>5.8301472222222204</v>
      </c>
      <c r="AC498" t="s">
        <v>47</v>
      </c>
    </row>
    <row r="499" spans="1:29">
      <c r="A499">
        <v>167</v>
      </c>
      <c r="B499" t="s">
        <v>9</v>
      </c>
      <c r="C499" t="s">
        <v>17</v>
      </c>
      <c r="D499" t="s">
        <v>11</v>
      </c>
      <c r="E499">
        <v>90</v>
      </c>
      <c r="F499">
        <v>2019</v>
      </c>
      <c r="G499" t="s">
        <v>22</v>
      </c>
      <c r="H499">
        <v>95994.72</v>
      </c>
      <c r="I499">
        <v>0</v>
      </c>
      <c r="J499">
        <v>237</v>
      </c>
      <c r="K499">
        <v>189</v>
      </c>
      <c r="L499" t="s">
        <v>40</v>
      </c>
      <c r="M499">
        <v>70</v>
      </c>
      <c r="N499" t="s">
        <v>9</v>
      </c>
      <c r="O499" t="s">
        <v>15</v>
      </c>
      <c r="P499" t="s">
        <v>13</v>
      </c>
      <c r="Q499">
        <v>135</v>
      </c>
      <c r="R499">
        <v>2019</v>
      </c>
      <c r="S499" t="s">
        <v>18</v>
      </c>
      <c r="T499">
        <v>112124.68</v>
      </c>
      <c r="U499">
        <v>237</v>
      </c>
      <c r="V499" t="s">
        <v>16</v>
      </c>
      <c r="W499" t="s">
        <v>19</v>
      </c>
      <c r="X499" s="1">
        <v>42262.559999999998</v>
      </c>
      <c r="Y499">
        <v>950</v>
      </c>
      <c r="Z499">
        <v>275</v>
      </c>
      <c r="AA499">
        <v>8100</v>
      </c>
      <c r="AB499" s="1">
        <v>5.2176</v>
      </c>
      <c r="AC499" t="s">
        <v>47</v>
      </c>
    </row>
    <row r="500" spans="1:29">
      <c r="A500">
        <v>483</v>
      </c>
      <c r="B500" t="s">
        <v>16</v>
      </c>
      <c r="C500" t="s">
        <v>17</v>
      </c>
      <c r="D500" t="s">
        <v>13</v>
      </c>
      <c r="E500">
        <v>245</v>
      </c>
      <c r="F500">
        <v>2022</v>
      </c>
      <c r="G500" t="s">
        <v>14</v>
      </c>
      <c r="H500">
        <v>32045</v>
      </c>
      <c r="I500">
        <v>0</v>
      </c>
      <c r="J500">
        <v>62</v>
      </c>
      <c r="K500">
        <v>53</v>
      </c>
      <c r="L500" t="s">
        <v>40</v>
      </c>
      <c r="M500">
        <v>84</v>
      </c>
      <c r="N500" t="s">
        <v>9</v>
      </c>
      <c r="O500" t="s">
        <v>23</v>
      </c>
      <c r="P500" t="s">
        <v>11</v>
      </c>
      <c r="Q500">
        <v>240</v>
      </c>
      <c r="R500">
        <v>2018</v>
      </c>
      <c r="S500" t="s">
        <v>14</v>
      </c>
      <c r="T500">
        <v>101242.05</v>
      </c>
      <c r="U500">
        <v>62</v>
      </c>
      <c r="V500" t="s">
        <v>9</v>
      </c>
      <c r="W500" t="s">
        <v>17</v>
      </c>
      <c r="X500" s="1">
        <v>86864.4</v>
      </c>
      <c r="Y500">
        <v>975</v>
      </c>
      <c r="Z500">
        <v>300</v>
      </c>
      <c r="AA500">
        <v>8100</v>
      </c>
      <c r="AB500">
        <v>10.724</v>
      </c>
      <c r="AC500" t="s">
        <v>48</v>
      </c>
    </row>
    <row r="501" spans="1:29">
      <c r="A501">
        <v>398</v>
      </c>
      <c r="B501" t="s">
        <v>9</v>
      </c>
      <c r="C501" t="s">
        <v>19</v>
      </c>
      <c r="D501" t="s">
        <v>13</v>
      </c>
      <c r="E501">
        <v>105</v>
      </c>
      <c r="F501">
        <v>2021</v>
      </c>
      <c r="G501" t="s">
        <v>22</v>
      </c>
      <c r="H501">
        <v>108384</v>
      </c>
      <c r="I501">
        <v>0</v>
      </c>
      <c r="J501">
        <v>158</v>
      </c>
      <c r="K501">
        <v>397</v>
      </c>
      <c r="L501" t="s">
        <v>40</v>
      </c>
      <c r="M501">
        <v>75</v>
      </c>
      <c r="N501" t="s">
        <v>16</v>
      </c>
      <c r="O501" t="s">
        <v>10</v>
      </c>
      <c r="P501" t="s">
        <v>11</v>
      </c>
      <c r="Q501">
        <v>220</v>
      </c>
      <c r="R501">
        <v>2021</v>
      </c>
      <c r="S501" t="s">
        <v>22</v>
      </c>
      <c r="T501">
        <v>27312</v>
      </c>
      <c r="U501">
        <v>158</v>
      </c>
      <c r="V501" t="s">
        <v>9</v>
      </c>
      <c r="W501" t="s">
        <v>15</v>
      </c>
      <c r="X501" s="1">
        <v>87548.04</v>
      </c>
      <c r="Y501">
        <v>825</v>
      </c>
      <c r="Z501">
        <v>375</v>
      </c>
      <c r="AA501">
        <v>5400</v>
      </c>
      <c r="AB501" s="1">
        <v>16.212599999999998</v>
      </c>
      <c r="AC501" t="s">
        <v>48</v>
      </c>
    </row>
  </sheetData>
  <autoFilter ref="A1:AC501" xr:uid="{4F18B5E9-8ED1-C348-A47B-CA861E572CED}">
    <sortState xmlns:xlrd2="http://schemas.microsoft.com/office/spreadsheetml/2017/richdata2" ref="A2:AC501">
      <sortCondition ref="X1:X501"/>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76F74-84B0-084B-A041-11959ACB5057}">
  <dimension ref="A1:E34"/>
  <sheetViews>
    <sheetView topLeftCell="B1" workbookViewId="0">
      <selection activeCell="P7" sqref="P7"/>
    </sheetView>
  </sheetViews>
  <sheetFormatPr baseColWidth="10" defaultRowHeight="16"/>
  <cols>
    <col min="1" max="1" width="17.5" bestFit="1" customWidth="1"/>
    <col min="2" max="2" width="20.83203125" bestFit="1" customWidth="1"/>
    <col min="3" max="3" width="20.33203125" bestFit="1" customWidth="1"/>
    <col min="4" max="5" width="10.5" bestFit="1" customWidth="1"/>
  </cols>
  <sheetData>
    <row r="1" spans="1:5" ht="20">
      <c r="A1" s="26" t="s">
        <v>63</v>
      </c>
      <c r="B1" s="26"/>
      <c r="C1" s="26"/>
      <c r="D1" s="26"/>
    </row>
    <row r="2" spans="1:5">
      <c r="A2" s="6" t="s">
        <v>62</v>
      </c>
      <c r="B2" s="6" t="s">
        <v>61</v>
      </c>
    </row>
    <row r="3" spans="1:5">
      <c r="A3" s="6" t="s">
        <v>59</v>
      </c>
      <c r="B3" t="s">
        <v>40</v>
      </c>
      <c r="C3" t="s">
        <v>41</v>
      </c>
      <c r="D3" t="s">
        <v>106</v>
      </c>
      <c r="E3" t="s">
        <v>60</v>
      </c>
    </row>
    <row r="4" spans="1:5">
      <c r="A4" s="7" t="s">
        <v>16</v>
      </c>
      <c r="B4">
        <v>41779</v>
      </c>
      <c r="C4">
        <v>15294</v>
      </c>
      <c r="E4">
        <v>57073</v>
      </c>
    </row>
    <row r="5" spans="1:5">
      <c r="A5" s="7" t="s">
        <v>9</v>
      </c>
      <c r="B5">
        <v>26809</v>
      </c>
      <c r="C5">
        <v>18007</v>
      </c>
      <c r="E5">
        <v>44816</v>
      </c>
    </row>
    <row r="6" spans="1:5">
      <c r="A6" s="7" t="s">
        <v>20</v>
      </c>
      <c r="B6">
        <v>5654</v>
      </c>
      <c r="C6">
        <v>3813</v>
      </c>
      <c r="E6">
        <v>9467</v>
      </c>
    </row>
    <row r="7" spans="1:5">
      <c r="A7" s="7" t="s">
        <v>106</v>
      </c>
    </row>
    <row r="8" spans="1:5">
      <c r="A8" s="7" t="s">
        <v>60</v>
      </c>
      <c r="B8">
        <v>74242</v>
      </c>
      <c r="C8">
        <v>37114</v>
      </c>
      <c r="E8">
        <v>111356</v>
      </c>
    </row>
    <row r="9" spans="1:5" ht="20">
      <c r="A9" s="26" t="s">
        <v>65</v>
      </c>
      <c r="B9" s="26"/>
      <c r="C9" s="26"/>
      <c r="D9" s="26"/>
    </row>
    <row r="10" spans="1:5">
      <c r="A10" s="6" t="s">
        <v>4</v>
      </c>
      <c r="B10" t="s">
        <v>64</v>
      </c>
    </row>
    <row r="12" spans="1:5">
      <c r="A12" s="6" t="s">
        <v>62</v>
      </c>
      <c r="B12" s="6" t="s">
        <v>61</v>
      </c>
    </row>
    <row r="13" spans="1:5">
      <c r="A13" s="6" t="s">
        <v>59</v>
      </c>
      <c r="B13" t="s">
        <v>40</v>
      </c>
      <c r="C13" t="s">
        <v>41</v>
      </c>
      <c r="D13" t="s">
        <v>60</v>
      </c>
    </row>
    <row r="14" spans="1:5">
      <c r="A14" s="7" t="s">
        <v>24</v>
      </c>
      <c r="B14">
        <v>1952</v>
      </c>
      <c r="C14">
        <v>1103</v>
      </c>
      <c r="D14">
        <v>3055</v>
      </c>
    </row>
    <row r="15" spans="1:5">
      <c r="A15" s="7" t="s">
        <v>13</v>
      </c>
      <c r="B15">
        <v>23663</v>
      </c>
      <c r="C15">
        <v>15395</v>
      </c>
      <c r="D15">
        <v>39058</v>
      </c>
    </row>
    <row r="16" spans="1:5">
      <c r="A16" s="7" t="s">
        <v>11</v>
      </c>
      <c r="B16">
        <v>47076</v>
      </c>
      <c r="C16">
        <v>20420</v>
      </c>
      <c r="D16">
        <v>67496</v>
      </c>
    </row>
    <row r="17" spans="1:4">
      <c r="A17" s="7" t="s">
        <v>21</v>
      </c>
      <c r="B17">
        <v>703</v>
      </c>
      <c r="C17">
        <v>196</v>
      </c>
      <c r="D17">
        <v>899</v>
      </c>
    </row>
    <row r="18" spans="1:4">
      <c r="A18" s="7" t="s">
        <v>29</v>
      </c>
      <c r="B18">
        <v>848</v>
      </c>
      <c r="D18">
        <v>848</v>
      </c>
    </row>
    <row r="19" spans="1:4">
      <c r="A19" s="7" t="s">
        <v>60</v>
      </c>
      <c r="B19">
        <v>74242</v>
      </c>
      <c r="C19">
        <v>37114</v>
      </c>
      <c r="D19">
        <v>111356</v>
      </c>
    </row>
    <row r="22" spans="1:4" ht="20">
      <c r="A22" s="26" t="s">
        <v>69</v>
      </c>
      <c r="B22" s="26"/>
      <c r="C22" s="26"/>
      <c r="D22" s="26"/>
    </row>
    <row r="23" spans="1:4">
      <c r="A23" s="6" t="s">
        <v>59</v>
      </c>
      <c r="B23" t="s">
        <v>66</v>
      </c>
      <c r="C23" t="s">
        <v>67</v>
      </c>
      <c r="D23" t="s">
        <v>68</v>
      </c>
    </row>
    <row r="24" spans="1:4">
      <c r="A24" s="7" t="s">
        <v>49</v>
      </c>
      <c r="B24">
        <v>137</v>
      </c>
      <c r="C24">
        <v>74251.141627906982</v>
      </c>
      <c r="D24">
        <v>8136.3057324840765</v>
      </c>
    </row>
    <row r="25" spans="1:4">
      <c r="A25" s="7" t="s">
        <v>48</v>
      </c>
      <c r="B25">
        <v>212</v>
      </c>
      <c r="C25">
        <v>78400.671044776158</v>
      </c>
      <c r="D25">
        <v>7219.3548387096771</v>
      </c>
    </row>
    <row r="26" spans="1:4">
      <c r="A26" s="7" t="s">
        <v>47</v>
      </c>
      <c r="B26">
        <v>75</v>
      </c>
      <c r="C26">
        <v>65241.599571428582</v>
      </c>
      <c r="D26">
        <v>7092.6315789473683</v>
      </c>
    </row>
    <row r="27" spans="1:4">
      <c r="A27" s="7" t="s">
        <v>60</v>
      </c>
      <c r="B27">
        <v>424</v>
      </c>
      <c r="C27">
        <v>74759.610300000015</v>
      </c>
      <c r="D27">
        <v>7483.2</v>
      </c>
    </row>
    <row r="29" spans="1:4" ht="20">
      <c r="A29" s="26" t="s">
        <v>72</v>
      </c>
      <c r="B29" s="26"/>
      <c r="C29" s="26"/>
      <c r="D29" s="26"/>
    </row>
    <row r="30" spans="1:4">
      <c r="A30" s="6" t="s">
        <v>62</v>
      </c>
      <c r="B30" s="6" t="s">
        <v>61</v>
      </c>
    </row>
    <row r="31" spans="1:4">
      <c r="A31" s="6" t="s">
        <v>59</v>
      </c>
      <c r="B31" t="s">
        <v>40</v>
      </c>
      <c r="C31" t="s">
        <v>41</v>
      </c>
      <c r="D31" t="s">
        <v>60</v>
      </c>
    </row>
    <row r="32" spans="1:4">
      <c r="A32" s="7" t="s">
        <v>70</v>
      </c>
      <c r="B32">
        <v>21338</v>
      </c>
      <c r="C32">
        <v>7063</v>
      </c>
      <c r="D32">
        <v>28401</v>
      </c>
    </row>
    <row r="33" spans="1:4">
      <c r="A33" s="7" t="s">
        <v>71</v>
      </c>
      <c r="B33">
        <v>52904</v>
      </c>
      <c r="C33">
        <v>30051</v>
      </c>
      <c r="D33">
        <v>82955</v>
      </c>
    </row>
    <row r="34" spans="1:4">
      <c r="A34" s="7" t="s">
        <v>60</v>
      </c>
      <c r="B34">
        <v>74242</v>
      </c>
      <c r="C34">
        <v>37114</v>
      </c>
      <c r="D34">
        <v>111356</v>
      </c>
    </row>
  </sheetData>
  <mergeCells count="4">
    <mergeCell ref="A1:D1"/>
    <mergeCell ref="A9:D9"/>
    <mergeCell ref="A22:D22"/>
    <mergeCell ref="A29:D29"/>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638D-9B0D-C441-8624-40263B417476}">
  <dimension ref="A2:E10"/>
  <sheetViews>
    <sheetView workbookViewId="0">
      <selection activeCell="C2" sqref="C2"/>
    </sheetView>
  </sheetViews>
  <sheetFormatPr baseColWidth="10" defaultRowHeight="16"/>
  <cols>
    <col min="1" max="1" width="25.5" customWidth="1"/>
    <col min="2" max="2" width="15.6640625" customWidth="1"/>
    <col min="3" max="3" width="51.33203125" customWidth="1"/>
  </cols>
  <sheetData>
    <row r="2" spans="1:5" ht="19">
      <c r="A2" s="4" t="s">
        <v>50</v>
      </c>
      <c r="B2" s="2">
        <f>COUNTA(UnLeased!A2:A500)</f>
        <v>424</v>
      </c>
      <c r="C2" s="2" t="str">
        <f>"TOTAL UNLEASED SITES" &amp; CHAR(10) &amp; TEXT(COUNTA(UnLeased!C2:C500), "#,##0")</f>
        <v>TOTAL UNLEASED SITES
424</v>
      </c>
      <c r="E2" s="2"/>
    </row>
    <row r="3" spans="1:5" ht="19">
      <c r="A3" s="3" t="s">
        <v>51</v>
      </c>
      <c r="B3" s="2">
        <f>COUNTIF(LeaseUp!C2:C500, "High Lease Up Potential")</f>
        <v>299</v>
      </c>
      <c r="C3" s="2" t="str">
        <f>"HIGH POTENTIAL SITES" &amp; CHAR(10) &amp; TEXT(COUNTIF(LeaseUp!C2:C500, "High Lease Up Potential"), "#,##0")</f>
        <v>HIGH POTENTIAL SITES
299</v>
      </c>
    </row>
    <row r="4" spans="1:5" ht="19">
      <c r="A4" s="4" t="s">
        <v>52</v>
      </c>
      <c r="B4" s="5">
        <f>COUNTIF(LeaseUp!C2:C500, "Low Lease Up Potential")</f>
        <v>125</v>
      </c>
      <c r="C4" s="2" t="str">
        <f>"LOW POTENTIAL SITES" &amp; CHAR(10) &amp; TEXT(COUNTIF(LeaseUp!C2:C500, "Low Lease Up Potential"), "#,##0")</f>
        <v>LOW POTENTIAL SITES
125</v>
      </c>
    </row>
    <row r="5" spans="1:5" ht="18">
      <c r="A5" t="s">
        <v>53</v>
      </c>
      <c r="B5" s="2" t="str">
        <f>TEXT(COUNTIF(LeaseUp!C2:C500, "High Lease Up Potential")/COUNTA(LeaseUp!A2:A500), "0.0%")</f>
        <v>70.5%</v>
      </c>
      <c r="C5" s="2" t="str">
        <f>"HIGH POTENTIAL SHARE" &amp; CHAR(10) &amp; TEXT(COUNTIF(LeaseUp!C2:C500, "High Lease Up Potential")/COUNTA(LeaseUp!A2:A500), "0.0%")</f>
        <v>HIGH POTENTIAL SHARE
70.5%</v>
      </c>
    </row>
    <row r="6" spans="1:5" ht="18">
      <c r="A6" t="s">
        <v>54</v>
      </c>
      <c r="B6" s="2" t="str">
        <f>TEXT(SUM(PayBack!D2:D501), "$#,##0")</f>
        <v>$35,736,216</v>
      </c>
      <c r="C6" s="2" t="str">
        <f>"TOTAL PORTFOLIO CAPEX" &amp; CHAR(10) &amp; TEXT(SUM(PayBack!D2:D501), "$#,##0")</f>
        <v>TOTAL PORTFOLIO CAPEX
$35,736,216</v>
      </c>
    </row>
    <row r="7" spans="1:5" ht="18">
      <c r="A7" t="s">
        <v>55</v>
      </c>
      <c r="B7" s="2" t="str">
        <f>TEXT(AVERAGE(PayBack!H2:H501), "0.0") &amp; " Yrs"</f>
        <v>10.2 Yrs</v>
      </c>
      <c r="C7" s="2" t="str">
        <f>"AVG PAYBACK PERIOD" &amp; CHAR(10) &amp; TEXT(AVERAGE(PayBack!H2:H501), "0.0") &amp; " Yrs"</f>
        <v>AVG PAYBACK PERIOD
10.2 Yrs</v>
      </c>
    </row>
    <row r="8" spans="1:5" ht="18">
      <c r="A8" t="s">
        <v>56</v>
      </c>
      <c r="B8" s="2" t="str">
        <f>TEXT(COUNTIF(PayBack!I2:I500, "1-5 years Pay Back"), "#,##0")</f>
        <v>157</v>
      </c>
      <c r="C8" s="2" t="str">
        <f>"1-5 YR PAYBACK SITES" &amp; CHAR(10) &amp; TEXT(COUNTIF(PayBack!I2:I500, "1-5 years Pay Back"), "#,##0")</f>
        <v>1-5 YR PAYBACK SITES
157</v>
      </c>
    </row>
    <row r="9" spans="1:5" ht="18">
      <c r="A9" t="s">
        <v>57</v>
      </c>
      <c r="B9" s="2" t="str">
        <f>TEXT(COUNTIF(PayBack!I2:I500, "5-10 years Pay Back"), "#,##0")</f>
        <v>95</v>
      </c>
      <c r="C9" s="2" t="str">
        <f>"5-10 YR PAYBACK SITES" &amp; CHAR(10) &amp; TEXT(COUNTIF(PayBack!I2:I500, "5-10 years Pay Back"), "#,##0")</f>
        <v>5-10 YR PAYBACK SITES
95</v>
      </c>
    </row>
    <row r="10" spans="1:5" ht="18">
      <c r="A10" t="s">
        <v>58</v>
      </c>
      <c r="B10" s="2" t="str">
        <f>TEXT(COUNTIF(PayBack!I2:I500, "10+ years Pay Back"), "#,##0")</f>
        <v>247</v>
      </c>
      <c r="C10" s="2" t="str">
        <f>"10+ YR PAYBACK SITES" &amp; CHAR(10) &amp; TEXT(COUNTIF(PayBack!I2:I500, "10+ years Pay Back"), "#,##0")</f>
        <v>10+ YR PAYBACK SITES
247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0297A-1635-5C47-ACF9-388AF8A0B462}">
  <dimension ref="A1:M425"/>
  <sheetViews>
    <sheetView workbookViewId="0">
      <selection activeCell="H20" sqref="H20"/>
    </sheetView>
  </sheetViews>
  <sheetFormatPr baseColWidth="10" defaultRowHeight="16"/>
  <cols>
    <col min="1" max="1" width="13.6640625" customWidth="1"/>
    <col min="2" max="2" width="18.33203125" customWidth="1"/>
    <col min="4" max="4" width="12.33203125" customWidth="1"/>
    <col min="6" max="6" width="11.33203125" customWidth="1"/>
    <col min="7" max="7" width="20.5" customWidth="1"/>
    <col min="8" max="8" width="10.83203125" style="10"/>
    <col min="9" max="9" width="24" customWidth="1"/>
    <col min="13" max="13" width="19" customWidth="1"/>
  </cols>
  <sheetData>
    <row r="1" spans="1:13">
      <c r="A1" t="s">
        <v>0</v>
      </c>
      <c r="B1" t="s">
        <v>1</v>
      </c>
      <c r="C1" t="s">
        <v>2</v>
      </c>
      <c r="D1" t="s">
        <v>3</v>
      </c>
      <c r="E1" t="s">
        <v>4</v>
      </c>
      <c r="F1" t="s">
        <v>5</v>
      </c>
      <c r="G1" t="s">
        <v>6</v>
      </c>
      <c r="H1" s="10" t="s">
        <v>7</v>
      </c>
      <c r="I1" t="s">
        <v>8</v>
      </c>
      <c r="M1">
        <f>SUM(H2:H425)</f>
        <v>30793446.219999988</v>
      </c>
    </row>
    <row r="2" spans="1:13">
      <c r="A2">
        <v>7</v>
      </c>
      <c r="B2" t="s">
        <v>9</v>
      </c>
      <c r="C2" t="s">
        <v>10</v>
      </c>
      <c r="D2" t="s">
        <v>11</v>
      </c>
      <c r="E2">
        <v>185</v>
      </c>
      <c r="F2">
        <v>2017</v>
      </c>
      <c r="G2" t="s">
        <v>12</v>
      </c>
      <c r="H2" s="10">
        <v>82296</v>
      </c>
      <c r="I2">
        <v>0</v>
      </c>
    </row>
    <row r="3" spans="1:13">
      <c r="A3">
        <v>20</v>
      </c>
      <c r="B3" t="s">
        <v>9</v>
      </c>
      <c r="C3" t="s">
        <v>10</v>
      </c>
      <c r="D3" t="s">
        <v>13</v>
      </c>
      <c r="E3">
        <v>120</v>
      </c>
      <c r="F3">
        <v>2017</v>
      </c>
      <c r="G3" t="s">
        <v>14</v>
      </c>
      <c r="H3" s="10">
        <v>99848</v>
      </c>
      <c r="I3">
        <v>0</v>
      </c>
    </row>
    <row r="4" spans="1:13">
      <c r="A4">
        <v>40</v>
      </c>
      <c r="B4" t="s">
        <v>9</v>
      </c>
      <c r="C4" t="s">
        <v>15</v>
      </c>
      <c r="D4" t="s">
        <v>11</v>
      </c>
      <c r="E4">
        <v>210</v>
      </c>
      <c r="F4">
        <v>2018</v>
      </c>
      <c r="G4" t="s">
        <v>12</v>
      </c>
      <c r="H4" s="10">
        <v>85397.52</v>
      </c>
      <c r="I4">
        <v>0</v>
      </c>
    </row>
    <row r="5" spans="1:13">
      <c r="A5">
        <v>68</v>
      </c>
      <c r="B5" t="s">
        <v>16</v>
      </c>
      <c r="C5" t="s">
        <v>17</v>
      </c>
      <c r="D5" t="s">
        <v>13</v>
      </c>
      <c r="E5">
        <v>195</v>
      </c>
      <c r="F5">
        <v>2018</v>
      </c>
      <c r="G5" t="s">
        <v>18</v>
      </c>
      <c r="H5" s="10">
        <v>37968.32</v>
      </c>
      <c r="I5">
        <v>0</v>
      </c>
    </row>
    <row r="6" spans="1:13">
      <c r="A6">
        <v>69</v>
      </c>
      <c r="B6" t="s">
        <v>9</v>
      </c>
      <c r="C6" t="s">
        <v>19</v>
      </c>
      <c r="D6" t="s">
        <v>11</v>
      </c>
      <c r="E6">
        <v>165</v>
      </c>
      <c r="F6">
        <v>2018</v>
      </c>
      <c r="G6" t="s">
        <v>14</v>
      </c>
      <c r="H6" s="10">
        <v>92378</v>
      </c>
      <c r="I6">
        <v>0</v>
      </c>
    </row>
    <row r="7" spans="1:13">
      <c r="A7">
        <v>73</v>
      </c>
      <c r="B7" t="s">
        <v>9</v>
      </c>
      <c r="C7" t="s">
        <v>15</v>
      </c>
      <c r="D7" t="s">
        <v>13</v>
      </c>
      <c r="E7">
        <v>140</v>
      </c>
      <c r="F7">
        <v>2018</v>
      </c>
      <c r="G7" t="s">
        <v>14</v>
      </c>
      <c r="H7" s="10">
        <v>84035.7</v>
      </c>
      <c r="I7">
        <v>0</v>
      </c>
    </row>
    <row r="8" spans="1:13">
      <c r="A8">
        <v>76</v>
      </c>
      <c r="B8" t="s">
        <v>9</v>
      </c>
      <c r="C8" t="s">
        <v>19</v>
      </c>
      <c r="D8" t="s">
        <v>11</v>
      </c>
      <c r="E8">
        <v>215</v>
      </c>
      <c r="F8">
        <v>2018</v>
      </c>
      <c r="G8" t="s">
        <v>14</v>
      </c>
      <c r="H8" s="10">
        <v>96011.45</v>
      </c>
      <c r="I8">
        <v>0</v>
      </c>
    </row>
    <row r="9" spans="1:13">
      <c r="A9">
        <v>81</v>
      </c>
      <c r="B9" t="s">
        <v>16</v>
      </c>
      <c r="C9" t="s">
        <v>17</v>
      </c>
      <c r="D9" t="s">
        <v>11</v>
      </c>
      <c r="E9">
        <v>180</v>
      </c>
      <c r="F9">
        <v>2018</v>
      </c>
      <c r="G9" t="s">
        <v>14</v>
      </c>
      <c r="H9" s="11">
        <v>22632.19</v>
      </c>
      <c r="I9">
        <v>0</v>
      </c>
    </row>
    <row r="10" spans="1:13">
      <c r="A10">
        <v>90</v>
      </c>
      <c r="B10" t="s">
        <v>16</v>
      </c>
      <c r="C10" t="s">
        <v>15</v>
      </c>
      <c r="D10" t="s">
        <v>13</v>
      </c>
      <c r="E10">
        <v>195</v>
      </c>
      <c r="F10">
        <v>2018</v>
      </c>
      <c r="G10" t="s">
        <v>14</v>
      </c>
      <c r="H10" s="1">
        <v>40276.089999999997</v>
      </c>
      <c r="I10">
        <v>0</v>
      </c>
    </row>
    <row r="11" spans="1:13">
      <c r="A11">
        <v>101</v>
      </c>
      <c r="B11" t="s">
        <v>20</v>
      </c>
      <c r="C11" t="s">
        <v>15</v>
      </c>
      <c r="D11" t="s">
        <v>21</v>
      </c>
      <c r="E11">
        <v>240</v>
      </c>
      <c r="F11">
        <v>2018</v>
      </c>
      <c r="G11" t="s">
        <v>14</v>
      </c>
      <c r="H11" s="10">
        <v>106028</v>
      </c>
      <c r="I11">
        <v>0</v>
      </c>
    </row>
    <row r="12" spans="1:13">
      <c r="A12">
        <v>112</v>
      </c>
      <c r="B12" t="s">
        <v>9</v>
      </c>
      <c r="C12" t="s">
        <v>17</v>
      </c>
      <c r="D12" t="s">
        <v>13</v>
      </c>
      <c r="E12">
        <v>135</v>
      </c>
      <c r="F12">
        <v>2018</v>
      </c>
      <c r="G12" t="s">
        <v>22</v>
      </c>
      <c r="H12" s="10">
        <v>108379.69</v>
      </c>
      <c r="I12">
        <v>0</v>
      </c>
    </row>
    <row r="13" spans="1:13">
      <c r="A13">
        <v>118</v>
      </c>
      <c r="B13" t="s">
        <v>16</v>
      </c>
      <c r="C13" t="s">
        <v>17</v>
      </c>
      <c r="D13" t="s">
        <v>11</v>
      </c>
      <c r="E13">
        <v>210</v>
      </c>
      <c r="F13">
        <v>2018</v>
      </c>
      <c r="G13" t="s">
        <v>14</v>
      </c>
      <c r="H13" s="1">
        <v>26424.3</v>
      </c>
      <c r="I13">
        <v>0</v>
      </c>
    </row>
    <row r="14" spans="1:13">
      <c r="A14">
        <v>127</v>
      </c>
      <c r="B14" t="s">
        <v>16</v>
      </c>
      <c r="C14" t="s">
        <v>17</v>
      </c>
      <c r="D14" t="s">
        <v>13</v>
      </c>
      <c r="E14">
        <v>170</v>
      </c>
      <c r="F14">
        <v>2019</v>
      </c>
      <c r="G14" t="s">
        <v>18</v>
      </c>
      <c r="H14" s="1">
        <v>28017.919999999998</v>
      </c>
      <c r="I14">
        <v>0</v>
      </c>
    </row>
    <row r="15" spans="1:13">
      <c r="A15">
        <v>128</v>
      </c>
      <c r="B15" t="s">
        <v>16</v>
      </c>
      <c r="C15" t="s">
        <v>15</v>
      </c>
      <c r="D15" t="s">
        <v>11</v>
      </c>
      <c r="E15">
        <v>115</v>
      </c>
      <c r="F15">
        <v>2019</v>
      </c>
      <c r="G15" t="s">
        <v>18</v>
      </c>
      <c r="H15" s="1">
        <v>36090.879999999997</v>
      </c>
      <c r="I15">
        <v>0</v>
      </c>
    </row>
    <row r="16" spans="1:13">
      <c r="A16">
        <v>129</v>
      </c>
      <c r="B16" t="s">
        <v>9</v>
      </c>
      <c r="C16" t="s">
        <v>23</v>
      </c>
      <c r="D16" t="s">
        <v>11</v>
      </c>
      <c r="E16">
        <v>205</v>
      </c>
      <c r="F16">
        <v>2019</v>
      </c>
      <c r="G16" t="s">
        <v>12</v>
      </c>
      <c r="H16" s="10">
        <v>85940.56</v>
      </c>
      <c r="I16">
        <v>0</v>
      </c>
    </row>
    <row r="17" spans="1:9">
      <c r="A17">
        <v>132</v>
      </c>
      <c r="B17" t="s">
        <v>16</v>
      </c>
      <c r="C17" t="s">
        <v>19</v>
      </c>
      <c r="D17" t="s">
        <v>11</v>
      </c>
      <c r="E17">
        <v>115</v>
      </c>
      <c r="F17">
        <v>2019</v>
      </c>
      <c r="G17" t="s">
        <v>14</v>
      </c>
      <c r="H17" s="10">
        <v>31024.080000000002</v>
      </c>
      <c r="I17">
        <v>0</v>
      </c>
    </row>
    <row r="18" spans="1:9">
      <c r="A18">
        <v>140</v>
      </c>
      <c r="B18" t="s">
        <v>16</v>
      </c>
      <c r="C18" t="s">
        <v>10</v>
      </c>
      <c r="D18" t="s">
        <v>11</v>
      </c>
      <c r="E18">
        <v>95</v>
      </c>
      <c r="F18">
        <v>2019</v>
      </c>
      <c r="G18" t="s">
        <v>22</v>
      </c>
      <c r="H18" s="10">
        <v>31352.68</v>
      </c>
      <c r="I18">
        <v>0</v>
      </c>
    </row>
    <row r="19" spans="1:9">
      <c r="A19">
        <v>152</v>
      </c>
      <c r="B19" t="s">
        <v>9</v>
      </c>
      <c r="C19" t="s">
        <v>19</v>
      </c>
      <c r="D19" t="s">
        <v>11</v>
      </c>
      <c r="E19">
        <v>90</v>
      </c>
      <c r="F19">
        <v>2019</v>
      </c>
      <c r="G19" t="s">
        <v>12</v>
      </c>
      <c r="H19" s="1">
        <v>102749.9</v>
      </c>
      <c r="I19">
        <v>0</v>
      </c>
    </row>
    <row r="20" spans="1:9">
      <c r="A20">
        <v>162</v>
      </c>
      <c r="B20" t="s">
        <v>16</v>
      </c>
      <c r="C20" t="s">
        <v>17</v>
      </c>
      <c r="D20" t="s">
        <v>11</v>
      </c>
      <c r="E20">
        <v>175</v>
      </c>
      <c r="F20">
        <v>2019</v>
      </c>
      <c r="G20" t="s">
        <v>18</v>
      </c>
      <c r="H20" s="1">
        <v>34003.74</v>
      </c>
      <c r="I20">
        <v>0</v>
      </c>
    </row>
    <row r="21" spans="1:9">
      <c r="A21">
        <v>169</v>
      </c>
      <c r="B21" t="s">
        <v>16</v>
      </c>
      <c r="C21" t="s">
        <v>10</v>
      </c>
      <c r="D21" t="s">
        <v>13</v>
      </c>
      <c r="E21">
        <v>215</v>
      </c>
      <c r="F21">
        <v>2019</v>
      </c>
      <c r="G21" t="s">
        <v>22</v>
      </c>
      <c r="H21" s="10">
        <v>39719.160000000003</v>
      </c>
      <c r="I21">
        <v>0</v>
      </c>
    </row>
    <row r="22" spans="1:9">
      <c r="A22">
        <v>172</v>
      </c>
      <c r="B22" t="s">
        <v>9</v>
      </c>
      <c r="C22" t="s">
        <v>10</v>
      </c>
      <c r="D22" t="s">
        <v>11</v>
      </c>
      <c r="E22">
        <v>215</v>
      </c>
      <c r="F22">
        <v>2019</v>
      </c>
      <c r="G22" t="s">
        <v>22</v>
      </c>
      <c r="H22" s="10">
        <v>115790.16</v>
      </c>
      <c r="I22">
        <v>0</v>
      </c>
    </row>
    <row r="23" spans="1:9">
      <c r="A23">
        <v>184</v>
      </c>
      <c r="B23" t="s">
        <v>9</v>
      </c>
      <c r="C23" t="s">
        <v>10</v>
      </c>
      <c r="D23" t="s">
        <v>13</v>
      </c>
      <c r="E23">
        <v>215</v>
      </c>
      <c r="F23">
        <v>2019</v>
      </c>
      <c r="G23" t="s">
        <v>12</v>
      </c>
      <c r="H23" s="10">
        <v>99127.8</v>
      </c>
      <c r="I23">
        <v>0</v>
      </c>
    </row>
    <row r="24" spans="1:9">
      <c r="A24">
        <v>191</v>
      </c>
      <c r="B24" t="s">
        <v>16</v>
      </c>
      <c r="C24" t="s">
        <v>17</v>
      </c>
      <c r="D24" t="s">
        <v>11</v>
      </c>
      <c r="E24">
        <v>110</v>
      </c>
      <c r="F24">
        <v>2019</v>
      </c>
      <c r="G24" t="s">
        <v>22</v>
      </c>
      <c r="H24" s="10">
        <v>37345.32</v>
      </c>
      <c r="I24">
        <v>0</v>
      </c>
    </row>
    <row r="25" spans="1:9">
      <c r="A25">
        <v>198</v>
      </c>
      <c r="B25" t="s">
        <v>16</v>
      </c>
      <c r="C25" t="s">
        <v>17</v>
      </c>
      <c r="D25" t="s">
        <v>13</v>
      </c>
      <c r="E25">
        <v>135</v>
      </c>
      <c r="F25">
        <v>2019</v>
      </c>
      <c r="G25" t="s">
        <v>22</v>
      </c>
      <c r="H25" s="1">
        <v>26142.48</v>
      </c>
      <c r="I25">
        <v>0</v>
      </c>
    </row>
    <row r="26" spans="1:9">
      <c r="A26">
        <v>208</v>
      </c>
      <c r="B26" t="s">
        <v>16</v>
      </c>
      <c r="C26" t="s">
        <v>23</v>
      </c>
      <c r="D26" t="s">
        <v>13</v>
      </c>
      <c r="E26">
        <v>215</v>
      </c>
      <c r="F26">
        <v>2019</v>
      </c>
      <c r="G26" t="s">
        <v>18</v>
      </c>
      <c r="H26" s="10">
        <v>26345.52</v>
      </c>
      <c r="I26">
        <v>0</v>
      </c>
    </row>
    <row r="27" spans="1:9">
      <c r="A27">
        <v>211</v>
      </c>
      <c r="B27" t="s">
        <v>9</v>
      </c>
      <c r="C27" t="s">
        <v>19</v>
      </c>
      <c r="D27" t="s">
        <v>21</v>
      </c>
      <c r="E27">
        <v>170</v>
      </c>
      <c r="F27">
        <v>2019</v>
      </c>
      <c r="G27" t="s">
        <v>18</v>
      </c>
      <c r="H27" s="10">
        <v>100977.72</v>
      </c>
      <c r="I27">
        <v>0</v>
      </c>
    </row>
    <row r="28" spans="1:9">
      <c r="A28">
        <v>237</v>
      </c>
      <c r="B28" t="s">
        <v>16</v>
      </c>
      <c r="C28" t="s">
        <v>19</v>
      </c>
      <c r="D28" t="s">
        <v>11</v>
      </c>
      <c r="E28">
        <v>220</v>
      </c>
      <c r="F28">
        <v>2019</v>
      </c>
      <c r="G28" t="s">
        <v>14</v>
      </c>
      <c r="H28" s="1">
        <v>42262.559999999998</v>
      </c>
      <c r="I28">
        <v>0</v>
      </c>
    </row>
    <row r="29" spans="1:9">
      <c r="A29">
        <v>243</v>
      </c>
      <c r="B29" t="s">
        <v>16</v>
      </c>
      <c r="C29" t="s">
        <v>19</v>
      </c>
      <c r="D29" t="s">
        <v>11</v>
      </c>
      <c r="E29">
        <v>240</v>
      </c>
      <c r="F29">
        <v>2019</v>
      </c>
      <c r="G29" t="s">
        <v>18</v>
      </c>
      <c r="H29" s="1">
        <v>39854.1</v>
      </c>
      <c r="I29">
        <v>0</v>
      </c>
    </row>
    <row r="30" spans="1:9">
      <c r="A30">
        <v>265</v>
      </c>
      <c r="B30" t="s">
        <v>9</v>
      </c>
      <c r="C30" t="s">
        <v>23</v>
      </c>
      <c r="D30" t="s">
        <v>11</v>
      </c>
      <c r="E30">
        <v>145</v>
      </c>
      <c r="F30">
        <v>2020</v>
      </c>
      <c r="G30" t="s">
        <v>18</v>
      </c>
      <c r="H30" s="10">
        <v>130821.25</v>
      </c>
      <c r="I30">
        <v>0</v>
      </c>
    </row>
    <row r="31" spans="1:9">
      <c r="A31">
        <v>270</v>
      </c>
      <c r="B31" t="s">
        <v>16</v>
      </c>
      <c r="C31" t="s">
        <v>17</v>
      </c>
      <c r="D31" t="s">
        <v>11</v>
      </c>
      <c r="E31">
        <v>215</v>
      </c>
      <c r="F31">
        <v>2020</v>
      </c>
      <c r="G31" t="s">
        <v>14</v>
      </c>
      <c r="H31" s="10">
        <v>39086.25</v>
      </c>
      <c r="I31">
        <v>0</v>
      </c>
    </row>
    <row r="32" spans="1:9">
      <c r="A32">
        <v>273</v>
      </c>
      <c r="B32" t="s">
        <v>16</v>
      </c>
      <c r="C32" t="s">
        <v>15</v>
      </c>
      <c r="D32" t="s">
        <v>13</v>
      </c>
      <c r="E32">
        <v>140</v>
      </c>
      <c r="F32">
        <v>2020</v>
      </c>
      <c r="G32" t="s">
        <v>18</v>
      </c>
      <c r="H32" s="10">
        <v>43681.25</v>
      </c>
      <c r="I32">
        <v>0</v>
      </c>
    </row>
    <row r="33" spans="1:9">
      <c r="A33">
        <v>276</v>
      </c>
      <c r="B33" t="s">
        <v>9</v>
      </c>
      <c r="C33" t="s">
        <v>15</v>
      </c>
      <c r="D33" t="s">
        <v>11</v>
      </c>
      <c r="E33">
        <v>195</v>
      </c>
      <c r="F33">
        <v>2020</v>
      </c>
      <c r="G33" t="s">
        <v>18</v>
      </c>
      <c r="H33" s="10">
        <v>122871.25</v>
      </c>
      <c r="I33">
        <v>0</v>
      </c>
    </row>
    <row r="34" spans="1:9">
      <c r="A34">
        <v>277</v>
      </c>
      <c r="B34" t="s">
        <v>9</v>
      </c>
      <c r="C34" t="s">
        <v>15</v>
      </c>
      <c r="D34" t="s">
        <v>11</v>
      </c>
      <c r="E34">
        <v>180</v>
      </c>
      <c r="F34">
        <v>2021</v>
      </c>
      <c r="G34" t="s">
        <v>22</v>
      </c>
      <c r="H34" s="1">
        <v>108067.939999999</v>
      </c>
      <c r="I34">
        <v>0</v>
      </c>
    </row>
    <row r="35" spans="1:9">
      <c r="A35">
        <v>282</v>
      </c>
      <c r="B35" t="s">
        <v>9</v>
      </c>
      <c r="C35" t="s">
        <v>17</v>
      </c>
      <c r="D35" t="s">
        <v>13</v>
      </c>
      <c r="E35">
        <v>215</v>
      </c>
      <c r="F35">
        <v>2021</v>
      </c>
      <c r="G35" t="s">
        <v>14</v>
      </c>
      <c r="H35" s="10">
        <v>114954.42</v>
      </c>
      <c r="I35">
        <v>0</v>
      </c>
    </row>
    <row r="36" spans="1:9">
      <c r="A36">
        <v>301</v>
      </c>
      <c r="B36" t="s">
        <v>9</v>
      </c>
      <c r="C36" t="s">
        <v>23</v>
      </c>
      <c r="D36" t="s">
        <v>11</v>
      </c>
      <c r="E36">
        <v>110</v>
      </c>
      <c r="F36">
        <v>2021</v>
      </c>
      <c r="G36" t="s">
        <v>18</v>
      </c>
      <c r="H36" s="1">
        <v>120549.599999999</v>
      </c>
      <c r="I36">
        <v>0</v>
      </c>
    </row>
    <row r="37" spans="1:9">
      <c r="A37">
        <v>310</v>
      </c>
      <c r="B37" t="s">
        <v>9</v>
      </c>
      <c r="C37" t="s">
        <v>23</v>
      </c>
      <c r="D37" t="s">
        <v>11</v>
      </c>
      <c r="E37">
        <v>200</v>
      </c>
      <c r="F37">
        <v>2021</v>
      </c>
      <c r="G37" t="s">
        <v>18</v>
      </c>
      <c r="H37" s="10">
        <v>108994.8</v>
      </c>
      <c r="I37">
        <v>0</v>
      </c>
    </row>
    <row r="38" spans="1:9">
      <c r="A38">
        <v>311</v>
      </c>
      <c r="B38" t="s">
        <v>16</v>
      </c>
      <c r="C38" t="s">
        <v>23</v>
      </c>
      <c r="D38" t="s">
        <v>11</v>
      </c>
      <c r="E38">
        <v>100</v>
      </c>
      <c r="F38">
        <v>2021</v>
      </c>
      <c r="G38" t="s">
        <v>12</v>
      </c>
      <c r="H38" s="10">
        <v>26619.599999999999</v>
      </c>
      <c r="I38">
        <v>0</v>
      </c>
    </row>
    <row r="39" spans="1:9">
      <c r="A39">
        <v>316</v>
      </c>
      <c r="B39" t="s">
        <v>9</v>
      </c>
      <c r="C39" t="s">
        <v>10</v>
      </c>
      <c r="D39" t="s">
        <v>11</v>
      </c>
      <c r="E39">
        <v>195</v>
      </c>
      <c r="F39">
        <v>2021</v>
      </c>
      <c r="G39" t="s">
        <v>22</v>
      </c>
      <c r="H39" s="1">
        <v>121504.799999999</v>
      </c>
      <c r="I39">
        <v>0</v>
      </c>
    </row>
    <row r="40" spans="1:9">
      <c r="A40">
        <v>317</v>
      </c>
      <c r="B40" t="s">
        <v>16</v>
      </c>
      <c r="C40" t="s">
        <v>17</v>
      </c>
      <c r="D40" t="s">
        <v>13</v>
      </c>
      <c r="E40">
        <v>135</v>
      </c>
      <c r="F40">
        <v>2021</v>
      </c>
      <c r="G40" t="s">
        <v>12</v>
      </c>
      <c r="H40" s="1">
        <v>27866.3999999999</v>
      </c>
      <c r="I40">
        <v>0</v>
      </c>
    </row>
    <row r="41" spans="1:9">
      <c r="A41">
        <v>332</v>
      </c>
      <c r="B41" t="s">
        <v>9</v>
      </c>
      <c r="C41" t="s">
        <v>15</v>
      </c>
      <c r="D41" t="s">
        <v>11</v>
      </c>
      <c r="E41">
        <v>115</v>
      </c>
      <c r="F41">
        <v>2021</v>
      </c>
      <c r="G41" t="s">
        <v>14</v>
      </c>
      <c r="H41" s="10">
        <v>97030.8</v>
      </c>
      <c r="I41">
        <v>0</v>
      </c>
    </row>
    <row r="42" spans="1:9">
      <c r="A42">
        <v>336</v>
      </c>
      <c r="B42" t="s">
        <v>16</v>
      </c>
      <c r="C42" t="s">
        <v>19</v>
      </c>
      <c r="D42" t="s">
        <v>11</v>
      </c>
      <c r="E42">
        <v>225</v>
      </c>
      <c r="F42">
        <v>2021</v>
      </c>
      <c r="G42" t="s">
        <v>14</v>
      </c>
      <c r="H42" s="10">
        <v>38684.400000000001</v>
      </c>
      <c r="I42">
        <v>0</v>
      </c>
    </row>
    <row r="43" spans="1:9">
      <c r="A43">
        <v>343</v>
      </c>
      <c r="B43" t="s">
        <v>16</v>
      </c>
      <c r="C43" t="s">
        <v>15</v>
      </c>
      <c r="D43" t="s">
        <v>13</v>
      </c>
      <c r="E43">
        <v>205</v>
      </c>
      <c r="F43">
        <v>2021</v>
      </c>
      <c r="G43" t="s">
        <v>12</v>
      </c>
      <c r="H43" s="10">
        <v>33500.400000000001</v>
      </c>
      <c r="I43">
        <v>0</v>
      </c>
    </row>
    <row r="44" spans="1:9">
      <c r="A44">
        <v>345</v>
      </c>
      <c r="B44" t="s">
        <v>9</v>
      </c>
      <c r="C44" t="s">
        <v>10</v>
      </c>
      <c r="D44" t="s">
        <v>11</v>
      </c>
      <c r="E44">
        <v>225</v>
      </c>
      <c r="F44">
        <v>2021</v>
      </c>
      <c r="G44" t="s">
        <v>22</v>
      </c>
      <c r="H44" s="10">
        <v>110974.8</v>
      </c>
      <c r="I44">
        <v>0</v>
      </c>
    </row>
    <row r="45" spans="1:9">
      <c r="A45">
        <v>354</v>
      </c>
      <c r="B45" t="s">
        <v>16</v>
      </c>
      <c r="C45" t="s">
        <v>17</v>
      </c>
      <c r="D45" t="s">
        <v>11</v>
      </c>
      <c r="E45">
        <v>190</v>
      </c>
      <c r="F45">
        <v>2021</v>
      </c>
      <c r="G45" t="s">
        <v>22</v>
      </c>
      <c r="H45" s="10">
        <v>37770</v>
      </c>
      <c r="I45">
        <v>0</v>
      </c>
    </row>
    <row r="46" spans="1:9">
      <c r="A46">
        <v>360</v>
      </c>
      <c r="B46" t="s">
        <v>16</v>
      </c>
      <c r="C46" t="s">
        <v>17</v>
      </c>
      <c r="D46" t="s">
        <v>11</v>
      </c>
      <c r="E46">
        <v>215</v>
      </c>
      <c r="F46">
        <v>2021</v>
      </c>
      <c r="G46" t="s">
        <v>12</v>
      </c>
      <c r="H46" s="10">
        <v>42669.599999999999</v>
      </c>
      <c r="I46">
        <v>0</v>
      </c>
    </row>
    <row r="47" spans="1:9">
      <c r="A47">
        <v>373</v>
      </c>
      <c r="B47" t="s">
        <v>16</v>
      </c>
      <c r="C47" t="s">
        <v>17</v>
      </c>
      <c r="D47" t="s">
        <v>13</v>
      </c>
      <c r="E47">
        <v>165</v>
      </c>
      <c r="F47">
        <v>2021</v>
      </c>
      <c r="G47" t="s">
        <v>22</v>
      </c>
      <c r="H47" s="10">
        <v>28458</v>
      </c>
      <c r="I47">
        <v>0</v>
      </c>
    </row>
    <row r="48" spans="1:9">
      <c r="A48">
        <v>375</v>
      </c>
      <c r="B48" t="s">
        <v>16</v>
      </c>
      <c r="C48" t="s">
        <v>19</v>
      </c>
      <c r="D48" t="s">
        <v>11</v>
      </c>
      <c r="E48">
        <v>115</v>
      </c>
      <c r="F48">
        <v>2021</v>
      </c>
      <c r="G48" t="s">
        <v>18</v>
      </c>
      <c r="H48" s="10">
        <v>39402</v>
      </c>
      <c r="I48">
        <v>0</v>
      </c>
    </row>
    <row r="49" spans="1:9">
      <c r="A49">
        <v>377</v>
      </c>
      <c r="B49" t="s">
        <v>16</v>
      </c>
      <c r="C49" t="s">
        <v>17</v>
      </c>
      <c r="D49" t="s">
        <v>11</v>
      </c>
      <c r="E49">
        <v>155</v>
      </c>
      <c r="F49">
        <v>2021</v>
      </c>
      <c r="G49" t="s">
        <v>22</v>
      </c>
      <c r="H49" s="10">
        <v>33474</v>
      </c>
      <c r="I49">
        <v>0</v>
      </c>
    </row>
    <row r="50" spans="1:9">
      <c r="A50">
        <v>381</v>
      </c>
      <c r="B50" t="s">
        <v>16</v>
      </c>
      <c r="C50" t="s">
        <v>19</v>
      </c>
      <c r="D50" t="s">
        <v>11</v>
      </c>
      <c r="E50">
        <v>225</v>
      </c>
      <c r="F50">
        <v>2021</v>
      </c>
      <c r="G50" t="s">
        <v>12</v>
      </c>
      <c r="H50" s="10">
        <v>46520.4</v>
      </c>
      <c r="I50">
        <v>0</v>
      </c>
    </row>
    <row r="51" spans="1:9">
      <c r="A51">
        <v>413</v>
      </c>
      <c r="B51" t="s">
        <v>16</v>
      </c>
      <c r="C51" t="s">
        <v>17</v>
      </c>
      <c r="D51" t="s">
        <v>11</v>
      </c>
      <c r="E51">
        <v>185</v>
      </c>
      <c r="F51">
        <v>2022</v>
      </c>
      <c r="G51" t="s">
        <v>18</v>
      </c>
      <c r="H51" s="1">
        <v>28665.1499999999</v>
      </c>
      <c r="I51">
        <v>0</v>
      </c>
    </row>
    <row r="52" spans="1:9">
      <c r="A52">
        <v>414</v>
      </c>
      <c r="B52" t="s">
        <v>16</v>
      </c>
      <c r="C52" t="s">
        <v>17</v>
      </c>
      <c r="D52" t="s">
        <v>24</v>
      </c>
      <c r="E52">
        <v>150</v>
      </c>
      <c r="F52">
        <v>2022</v>
      </c>
      <c r="G52" t="s">
        <v>14</v>
      </c>
      <c r="H52" s="10">
        <v>33428.94</v>
      </c>
      <c r="I52">
        <v>0</v>
      </c>
    </row>
    <row r="53" spans="1:9">
      <c r="A53">
        <v>416</v>
      </c>
      <c r="B53" t="s">
        <v>16</v>
      </c>
      <c r="C53" t="s">
        <v>10</v>
      </c>
      <c r="D53" t="s">
        <v>13</v>
      </c>
      <c r="E53">
        <v>230</v>
      </c>
      <c r="F53">
        <v>2022</v>
      </c>
      <c r="G53" t="s">
        <v>12</v>
      </c>
      <c r="H53" s="10">
        <v>42002.04</v>
      </c>
      <c r="I53">
        <v>0</v>
      </c>
    </row>
    <row r="54" spans="1:9">
      <c r="A54">
        <v>422</v>
      </c>
      <c r="B54" t="s">
        <v>9</v>
      </c>
      <c r="C54" t="s">
        <v>17</v>
      </c>
      <c r="D54" t="s">
        <v>13</v>
      </c>
      <c r="E54">
        <v>110</v>
      </c>
      <c r="F54">
        <v>2022</v>
      </c>
      <c r="G54" t="s">
        <v>22</v>
      </c>
      <c r="H54" s="1">
        <v>109419.569999999</v>
      </c>
      <c r="I54">
        <v>0</v>
      </c>
    </row>
    <row r="55" spans="1:9">
      <c r="A55">
        <v>449</v>
      </c>
      <c r="B55" t="s">
        <v>9</v>
      </c>
      <c r="C55" t="s">
        <v>23</v>
      </c>
      <c r="D55" t="s">
        <v>11</v>
      </c>
      <c r="E55">
        <v>230</v>
      </c>
      <c r="F55">
        <v>2022</v>
      </c>
      <c r="G55" t="s">
        <v>22</v>
      </c>
      <c r="H55" s="10">
        <v>128345.58</v>
      </c>
      <c r="I55">
        <v>0</v>
      </c>
    </row>
    <row r="56" spans="1:9">
      <c r="A56">
        <v>452</v>
      </c>
      <c r="B56" t="s">
        <v>20</v>
      </c>
      <c r="C56" t="s">
        <v>15</v>
      </c>
      <c r="D56" t="s">
        <v>11</v>
      </c>
      <c r="E56">
        <v>105</v>
      </c>
      <c r="F56">
        <v>2022</v>
      </c>
      <c r="G56" t="s">
        <v>14</v>
      </c>
      <c r="H56" s="10">
        <v>110757.81</v>
      </c>
      <c r="I56">
        <v>0</v>
      </c>
    </row>
    <row r="57" spans="1:9">
      <c r="A57">
        <v>454</v>
      </c>
      <c r="B57" t="s">
        <v>9</v>
      </c>
      <c r="C57" t="s">
        <v>19</v>
      </c>
      <c r="D57" t="s">
        <v>11</v>
      </c>
      <c r="E57">
        <v>200</v>
      </c>
      <c r="F57">
        <v>2022</v>
      </c>
      <c r="G57" t="s">
        <v>12</v>
      </c>
      <c r="H57" s="10">
        <v>108716.01</v>
      </c>
      <c r="I57">
        <v>0</v>
      </c>
    </row>
    <row r="58" spans="1:9">
      <c r="A58">
        <v>460</v>
      </c>
      <c r="B58" t="s">
        <v>16</v>
      </c>
      <c r="C58" t="s">
        <v>23</v>
      </c>
      <c r="D58" t="s">
        <v>11</v>
      </c>
      <c r="E58">
        <v>205</v>
      </c>
      <c r="F58">
        <v>2022</v>
      </c>
      <c r="G58" t="s">
        <v>22</v>
      </c>
      <c r="H58" s="10">
        <v>41480.519999999997</v>
      </c>
      <c r="I58">
        <v>0</v>
      </c>
    </row>
    <row r="59" spans="1:9">
      <c r="A59">
        <v>468</v>
      </c>
      <c r="B59" t="s">
        <v>16</v>
      </c>
      <c r="C59" t="s">
        <v>23</v>
      </c>
      <c r="D59" t="s">
        <v>13</v>
      </c>
      <c r="E59">
        <v>160</v>
      </c>
      <c r="F59">
        <v>2022</v>
      </c>
      <c r="G59" t="s">
        <v>18</v>
      </c>
      <c r="H59" s="10">
        <v>36393.75</v>
      </c>
      <c r="I59">
        <v>0</v>
      </c>
    </row>
    <row r="60" spans="1:9">
      <c r="A60">
        <v>469</v>
      </c>
      <c r="B60" t="s">
        <v>9</v>
      </c>
      <c r="C60" t="s">
        <v>23</v>
      </c>
      <c r="D60" t="s">
        <v>13</v>
      </c>
      <c r="E60">
        <v>175</v>
      </c>
      <c r="F60">
        <v>2022</v>
      </c>
      <c r="G60" t="s">
        <v>12</v>
      </c>
      <c r="H60" s="10">
        <v>118886.25</v>
      </c>
      <c r="I60">
        <v>0</v>
      </c>
    </row>
    <row r="61" spans="1:9">
      <c r="A61">
        <v>471</v>
      </c>
      <c r="B61" t="s">
        <v>9</v>
      </c>
      <c r="C61" t="s">
        <v>19</v>
      </c>
      <c r="D61" t="s">
        <v>11</v>
      </c>
      <c r="E61">
        <v>185</v>
      </c>
      <c r="F61">
        <v>2022</v>
      </c>
      <c r="G61" t="s">
        <v>18</v>
      </c>
      <c r="H61" s="10">
        <v>133112.5</v>
      </c>
      <c r="I61">
        <v>0</v>
      </c>
    </row>
    <row r="62" spans="1:9">
      <c r="A62">
        <v>472</v>
      </c>
      <c r="B62" t="s">
        <v>9</v>
      </c>
      <c r="C62" t="s">
        <v>15</v>
      </c>
      <c r="D62" t="s">
        <v>24</v>
      </c>
      <c r="E62">
        <v>140</v>
      </c>
      <c r="F62">
        <v>2022</v>
      </c>
      <c r="G62" t="s">
        <v>18</v>
      </c>
      <c r="H62" s="10">
        <v>117221.25</v>
      </c>
      <c r="I62">
        <v>0</v>
      </c>
    </row>
    <row r="63" spans="1:9">
      <c r="A63">
        <v>483</v>
      </c>
      <c r="B63" t="s">
        <v>16</v>
      </c>
      <c r="C63" t="s">
        <v>17</v>
      </c>
      <c r="D63" t="s">
        <v>13</v>
      </c>
      <c r="E63">
        <v>245</v>
      </c>
      <c r="F63">
        <v>2022</v>
      </c>
      <c r="G63" t="s">
        <v>14</v>
      </c>
      <c r="H63" s="10">
        <v>32045</v>
      </c>
      <c r="I63">
        <v>0</v>
      </c>
    </row>
    <row r="64" spans="1:9">
      <c r="A64">
        <v>491</v>
      </c>
      <c r="B64" t="s">
        <v>16</v>
      </c>
      <c r="C64" t="s">
        <v>19</v>
      </c>
      <c r="D64" t="s">
        <v>13</v>
      </c>
      <c r="E64">
        <v>225</v>
      </c>
      <c r="F64">
        <v>2022</v>
      </c>
      <c r="G64" t="s">
        <v>12</v>
      </c>
      <c r="H64" s="10">
        <v>29931.25</v>
      </c>
      <c r="I64">
        <v>0</v>
      </c>
    </row>
    <row r="65" spans="1:9">
      <c r="A65">
        <v>493</v>
      </c>
      <c r="B65" t="s">
        <v>16</v>
      </c>
      <c r="C65" t="s">
        <v>23</v>
      </c>
      <c r="D65" t="s">
        <v>11</v>
      </c>
      <c r="E65">
        <v>145</v>
      </c>
      <c r="F65">
        <v>2022</v>
      </c>
      <c r="G65" t="s">
        <v>14</v>
      </c>
      <c r="H65" s="10">
        <v>46676.25</v>
      </c>
      <c r="I65">
        <v>0</v>
      </c>
    </row>
    <row r="66" spans="1:9">
      <c r="A66">
        <v>497</v>
      </c>
      <c r="B66" t="s">
        <v>16</v>
      </c>
      <c r="C66" t="s">
        <v>17</v>
      </c>
      <c r="D66" t="s">
        <v>11</v>
      </c>
      <c r="E66">
        <v>165</v>
      </c>
      <c r="F66">
        <v>2022</v>
      </c>
      <c r="G66" t="s">
        <v>12</v>
      </c>
      <c r="H66" s="10">
        <v>27095</v>
      </c>
      <c r="I66">
        <v>0</v>
      </c>
    </row>
    <row r="67" spans="1:9">
      <c r="A67">
        <v>24</v>
      </c>
      <c r="B67" t="s">
        <v>9</v>
      </c>
      <c r="C67" t="s">
        <v>17</v>
      </c>
      <c r="D67" t="s">
        <v>11</v>
      </c>
      <c r="E67">
        <v>120</v>
      </c>
      <c r="F67">
        <v>2017</v>
      </c>
      <c r="G67" t="s">
        <v>14</v>
      </c>
      <c r="H67" s="10">
        <v>97806</v>
      </c>
      <c r="I67">
        <v>0</v>
      </c>
    </row>
    <row r="68" spans="1:9">
      <c r="A68">
        <v>29</v>
      </c>
      <c r="B68" t="s">
        <v>16</v>
      </c>
      <c r="C68" t="s">
        <v>17</v>
      </c>
      <c r="D68" t="s">
        <v>11</v>
      </c>
      <c r="E68">
        <v>220</v>
      </c>
      <c r="F68">
        <v>2017</v>
      </c>
      <c r="G68" t="s">
        <v>22</v>
      </c>
      <c r="H68" s="10">
        <v>29622</v>
      </c>
      <c r="I68">
        <v>0</v>
      </c>
    </row>
    <row r="69" spans="1:9">
      <c r="A69">
        <v>33</v>
      </c>
      <c r="B69" t="s">
        <v>16</v>
      </c>
      <c r="C69" t="s">
        <v>19</v>
      </c>
      <c r="D69" t="s">
        <v>11</v>
      </c>
      <c r="E69">
        <v>160</v>
      </c>
      <c r="F69">
        <v>2017</v>
      </c>
      <c r="G69" t="s">
        <v>22</v>
      </c>
      <c r="H69" s="10">
        <v>33341</v>
      </c>
      <c r="I69">
        <v>0</v>
      </c>
    </row>
    <row r="70" spans="1:9">
      <c r="A70">
        <v>39</v>
      </c>
      <c r="B70" t="s">
        <v>16</v>
      </c>
      <c r="C70" t="s">
        <v>19</v>
      </c>
      <c r="D70" t="s">
        <v>11</v>
      </c>
      <c r="E70">
        <v>235</v>
      </c>
      <c r="F70">
        <v>2018</v>
      </c>
      <c r="G70" t="s">
        <v>14</v>
      </c>
      <c r="H70" s="10">
        <v>27865.95</v>
      </c>
      <c r="I70">
        <v>0</v>
      </c>
    </row>
    <row r="71" spans="1:9">
      <c r="A71">
        <v>55</v>
      </c>
      <c r="B71" t="s">
        <v>16</v>
      </c>
      <c r="C71" t="s">
        <v>23</v>
      </c>
      <c r="D71" t="s">
        <v>13</v>
      </c>
      <c r="E71">
        <v>230</v>
      </c>
      <c r="F71">
        <v>2018</v>
      </c>
      <c r="G71" t="s">
        <v>18</v>
      </c>
      <c r="H71" s="10">
        <v>28861.63</v>
      </c>
      <c r="I71">
        <v>0</v>
      </c>
    </row>
    <row r="72" spans="1:9">
      <c r="A72">
        <v>56</v>
      </c>
      <c r="B72" t="s">
        <v>16</v>
      </c>
      <c r="C72" t="s">
        <v>23</v>
      </c>
      <c r="D72" t="s">
        <v>11</v>
      </c>
      <c r="E72">
        <v>220</v>
      </c>
      <c r="F72">
        <v>2018</v>
      </c>
      <c r="G72" t="s">
        <v>18</v>
      </c>
      <c r="H72" s="1">
        <v>26795.599999999999</v>
      </c>
      <c r="I72">
        <v>0</v>
      </c>
    </row>
    <row r="73" spans="1:9">
      <c r="A73">
        <v>59</v>
      </c>
      <c r="B73" t="s">
        <v>9</v>
      </c>
      <c r="C73" t="s">
        <v>19</v>
      </c>
      <c r="D73" t="s">
        <v>11</v>
      </c>
      <c r="E73">
        <v>155</v>
      </c>
      <c r="F73">
        <v>2018</v>
      </c>
      <c r="G73" t="s">
        <v>22</v>
      </c>
      <c r="H73" s="10">
        <v>110199.7</v>
      </c>
      <c r="I73">
        <v>0</v>
      </c>
    </row>
    <row r="74" spans="1:9">
      <c r="A74">
        <v>62</v>
      </c>
      <c r="B74" t="s">
        <v>9</v>
      </c>
      <c r="C74" t="s">
        <v>17</v>
      </c>
      <c r="D74" t="s">
        <v>13</v>
      </c>
      <c r="E74">
        <v>180</v>
      </c>
      <c r="F74">
        <v>2018</v>
      </c>
      <c r="G74" t="s">
        <v>22</v>
      </c>
      <c r="H74" s="1">
        <v>86864.4</v>
      </c>
      <c r="I74">
        <v>0</v>
      </c>
    </row>
    <row r="75" spans="1:9">
      <c r="A75">
        <v>67</v>
      </c>
      <c r="B75" t="s">
        <v>20</v>
      </c>
      <c r="C75" t="s">
        <v>15</v>
      </c>
      <c r="D75" t="s">
        <v>11</v>
      </c>
      <c r="E75">
        <v>225</v>
      </c>
      <c r="F75">
        <v>2018</v>
      </c>
      <c r="G75" t="s">
        <v>14</v>
      </c>
      <c r="H75" s="10">
        <v>98328.88</v>
      </c>
      <c r="I75">
        <v>0</v>
      </c>
    </row>
    <row r="76" spans="1:9">
      <c r="A76">
        <v>88</v>
      </c>
      <c r="B76" t="s">
        <v>16</v>
      </c>
      <c r="C76" t="s">
        <v>23</v>
      </c>
      <c r="D76" t="s">
        <v>13</v>
      </c>
      <c r="E76">
        <v>130</v>
      </c>
      <c r="F76">
        <v>2018</v>
      </c>
      <c r="G76" t="s">
        <v>14</v>
      </c>
      <c r="H76" s="10">
        <v>28656.66</v>
      </c>
      <c r="I76">
        <v>0</v>
      </c>
    </row>
    <row r="77" spans="1:9">
      <c r="A77">
        <v>99</v>
      </c>
      <c r="B77" t="s">
        <v>9</v>
      </c>
      <c r="C77" t="s">
        <v>19</v>
      </c>
      <c r="D77" t="s">
        <v>13</v>
      </c>
      <c r="E77">
        <v>90</v>
      </c>
      <c r="F77">
        <v>2018</v>
      </c>
      <c r="G77" t="s">
        <v>14</v>
      </c>
      <c r="H77" s="10">
        <v>94621.28</v>
      </c>
      <c r="I77">
        <v>0</v>
      </c>
    </row>
    <row r="78" spans="1:9">
      <c r="A78">
        <v>103</v>
      </c>
      <c r="B78" t="s">
        <v>16</v>
      </c>
      <c r="C78" t="s">
        <v>19</v>
      </c>
      <c r="D78" t="s">
        <v>13</v>
      </c>
      <c r="E78">
        <v>95</v>
      </c>
      <c r="F78">
        <v>2018</v>
      </c>
      <c r="G78" t="s">
        <v>14</v>
      </c>
      <c r="H78" s="10">
        <v>27925.360000000001</v>
      </c>
      <c r="I78">
        <v>0</v>
      </c>
    </row>
    <row r="79" spans="1:9">
      <c r="A79">
        <v>106</v>
      </c>
      <c r="B79" t="s">
        <v>9</v>
      </c>
      <c r="C79" t="s">
        <v>15</v>
      </c>
      <c r="D79" t="s">
        <v>11</v>
      </c>
      <c r="E79">
        <v>160</v>
      </c>
      <c r="F79">
        <v>2018</v>
      </c>
      <c r="G79" t="s">
        <v>14</v>
      </c>
      <c r="H79" s="10">
        <v>106111.63</v>
      </c>
      <c r="I79">
        <v>0</v>
      </c>
    </row>
    <row r="80" spans="1:9">
      <c r="A80">
        <v>113</v>
      </c>
      <c r="B80" t="s">
        <v>9</v>
      </c>
      <c r="C80" t="s">
        <v>19</v>
      </c>
      <c r="D80" t="s">
        <v>24</v>
      </c>
      <c r="E80">
        <v>200</v>
      </c>
      <c r="F80">
        <v>2018</v>
      </c>
      <c r="G80" t="s">
        <v>14</v>
      </c>
      <c r="H80" s="1">
        <v>94965.15</v>
      </c>
      <c r="I80">
        <v>0</v>
      </c>
    </row>
    <row r="81" spans="1:9">
      <c r="A81">
        <v>147</v>
      </c>
      <c r="B81" t="s">
        <v>16</v>
      </c>
      <c r="C81" t="s">
        <v>23</v>
      </c>
      <c r="D81" t="s">
        <v>11</v>
      </c>
      <c r="E81">
        <v>205</v>
      </c>
      <c r="F81">
        <v>2019</v>
      </c>
      <c r="G81" t="s">
        <v>12</v>
      </c>
      <c r="H81" s="10">
        <v>28147.9</v>
      </c>
      <c r="I81">
        <v>0</v>
      </c>
    </row>
    <row r="82" spans="1:9">
      <c r="A82">
        <v>148</v>
      </c>
      <c r="B82" t="s">
        <v>16</v>
      </c>
      <c r="C82" t="s">
        <v>10</v>
      </c>
      <c r="D82" t="s">
        <v>11</v>
      </c>
      <c r="E82">
        <v>145</v>
      </c>
      <c r="F82">
        <v>2019</v>
      </c>
      <c r="G82" t="s">
        <v>22</v>
      </c>
      <c r="H82" s="10">
        <v>39775.32</v>
      </c>
      <c r="I82">
        <v>0</v>
      </c>
    </row>
    <row r="83" spans="1:9">
      <c r="A83">
        <v>157</v>
      </c>
      <c r="B83" t="s">
        <v>16</v>
      </c>
      <c r="C83" t="s">
        <v>15</v>
      </c>
      <c r="D83" t="s">
        <v>11</v>
      </c>
      <c r="E83">
        <v>210</v>
      </c>
      <c r="F83">
        <v>2019</v>
      </c>
      <c r="G83" t="s">
        <v>12</v>
      </c>
      <c r="H83" s="10">
        <v>34260.26</v>
      </c>
      <c r="I83">
        <v>0</v>
      </c>
    </row>
    <row r="84" spans="1:9">
      <c r="A84">
        <v>159</v>
      </c>
      <c r="B84" t="s">
        <v>16</v>
      </c>
      <c r="C84" t="s">
        <v>17</v>
      </c>
      <c r="D84" t="s">
        <v>13</v>
      </c>
      <c r="E84">
        <v>140</v>
      </c>
      <c r="F84">
        <v>2019</v>
      </c>
      <c r="G84" t="s">
        <v>18</v>
      </c>
      <c r="H84" s="1">
        <v>25215.3</v>
      </c>
      <c r="I84">
        <v>0</v>
      </c>
    </row>
    <row r="85" spans="1:9">
      <c r="A85">
        <v>166</v>
      </c>
      <c r="B85" t="s">
        <v>9</v>
      </c>
      <c r="C85" t="s">
        <v>19</v>
      </c>
      <c r="D85" t="s">
        <v>24</v>
      </c>
      <c r="E85">
        <v>95</v>
      </c>
      <c r="F85">
        <v>2019</v>
      </c>
      <c r="G85" t="s">
        <v>14</v>
      </c>
      <c r="H85" s="10">
        <v>101584.8</v>
      </c>
      <c r="I85">
        <v>0</v>
      </c>
    </row>
    <row r="86" spans="1:9">
      <c r="A86">
        <v>190</v>
      </c>
      <c r="B86" t="s">
        <v>20</v>
      </c>
      <c r="C86" t="s">
        <v>23</v>
      </c>
      <c r="D86" t="s">
        <v>13</v>
      </c>
      <c r="E86">
        <v>205</v>
      </c>
      <c r="F86">
        <v>2019</v>
      </c>
      <c r="G86" t="s">
        <v>14</v>
      </c>
      <c r="H86" s="10">
        <v>87276.160000000003</v>
      </c>
      <c r="I86">
        <v>0</v>
      </c>
    </row>
    <row r="87" spans="1:9">
      <c r="A87">
        <v>200</v>
      </c>
      <c r="B87" t="s">
        <v>9</v>
      </c>
      <c r="C87" t="s">
        <v>15</v>
      </c>
      <c r="D87" t="s">
        <v>11</v>
      </c>
      <c r="E87">
        <v>170</v>
      </c>
      <c r="F87">
        <v>2019</v>
      </c>
      <c r="G87" t="s">
        <v>12</v>
      </c>
      <c r="H87" s="10">
        <v>112470.6</v>
      </c>
      <c r="I87">
        <v>0</v>
      </c>
    </row>
    <row r="88" spans="1:9">
      <c r="A88">
        <v>202</v>
      </c>
      <c r="B88" t="s">
        <v>9</v>
      </c>
      <c r="C88" t="s">
        <v>23</v>
      </c>
      <c r="D88" t="s">
        <v>11</v>
      </c>
      <c r="E88">
        <v>175</v>
      </c>
      <c r="F88">
        <v>2019</v>
      </c>
      <c r="G88" t="s">
        <v>12</v>
      </c>
      <c r="H88" s="10">
        <v>107986.44</v>
      </c>
      <c r="I88">
        <v>0</v>
      </c>
    </row>
    <row r="89" spans="1:9">
      <c r="A89">
        <v>219</v>
      </c>
      <c r="B89" t="s">
        <v>16</v>
      </c>
      <c r="C89" t="s">
        <v>23</v>
      </c>
      <c r="D89" t="s">
        <v>11</v>
      </c>
      <c r="E89">
        <v>110</v>
      </c>
      <c r="F89">
        <v>2019</v>
      </c>
      <c r="G89" t="s">
        <v>18</v>
      </c>
      <c r="H89" s="1">
        <v>31851.94</v>
      </c>
      <c r="I89">
        <v>0</v>
      </c>
    </row>
    <row r="90" spans="1:9">
      <c r="A90">
        <v>221</v>
      </c>
      <c r="B90" t="s">
        <v>16</v>
      </c>
      <c r="C90" t="s">
        <v>15</v>
      </c>
      <c r="D90" t="s">
        <v>11</v>
      </c>
      <c r="E90">
        <v>145</v>
      </c>
      <c r="F90">
        <v>2019</v>
      </c>
      <c r="G90" t="s">
        <v>14</v>
      </c>
      <c r="H90" s="10">
        <v>31720.68</v>
      </c>
      <c r="I90">
        <v>0</v>
      </c>
    </row>
    <row r="91" spans="1:9">
      <c r="A91">
        <v>235</v>
      </c>
      <c r="B91" t="s">
        <v>9</v>
      </c>
      <c r="C91" t="s">
        <v>23</v>
      </c>
      <c r="D91" t="s">
        <v>11</v>
      </c>
      <c r="E91">
        <v>205</v>
      </c>
      <c r="F91">
        <v>2019</v>
      </c>
      <c r="G91" t="s">
        <v>12</v>
      </c>
      <c r="H91" s="10">
        <v>105589.78</v>
      </c>
      <c r="I91">
        <v>0</v>
      </c>
    </row>
    <row r="92" spans="1:9">
      <c r="A92">
        <v>236</v>
      </c>
      <c r="B92" t="s">
        <v>20</v>
      </c>
      <c r="C92" t="s">
        <v>19</v>
      </c>
      <c r="D92" t="s">
        <v>11</v>
      </c>
      <c r="E92">
        <v>220</v>
      </c>
      <c r="F92">
        <v>2019</v>
      </c>
      <c r="G92" t="s">
        <v>14</v>
      </c>
      <c r="H92" s="10">
        <v>107577.8</v>
      </c>
      <c r="I92">
        <v>0</v>
      </c>
    </row>
    <row r="93" spans="1:9">
      <c r="A93">
        <v>242</v>
      </c>
      <c r="B93" t="s">
        <v>20</v>
      </c>
      <c r="C93" t="s">
        <v>15</v>
      </c>
      <c r="D93" t="s">
        <v>21</v>
      </c>
      <c r="E93">
        <v>160</v>
      </c>
      <c r="F93">
        <v>2019</v>
      </c>
      <c r="G93" t="s">
        <v>22</v>
      </c>
      <c r="H93" s="10">
        <v>100640.64</v>
      </c>
      <c r="I93">
        <v>0</v>
      </c>
    </row>
    <row r="94" spans="1:9">
      <c r="A94">
        <v>252</v>
      </c>
      <c r="B94" t="s">
        <v>20</v>
      </c>
      <c r="C94" t="s">
        <v>15</v>
      </c>
      <c r="D94" t="s">
        <v>11</v>
      </c>
      <c r="E94">
        <v>215</v>
      </c>
      <c r="F94">
        <v>2019</v>
      </c>
      <c r="G94" t="s">
        <v>22</v>
      </c>
      <c r="H94" s="1">
        <v>116251.26</v>
      </c>
      <c r="I94">
        <v>0</v>
      </c>
    </row>
    <row r="95" spans="1:9">
      <c r="A95">
        <v>259</v>
      </c>
      <c r="B95" t="s">
        <v>20</v>
      </c>
      <c r="C95" t="s">
        <v>10</v>
      </c>
      <c r="D95" t="s">
        <v>11</v>
      </c>
      <c r="E95">
        <v>155</v>
      </c>
      <c r="F95">
        <v>2020</v>
      </c>
      <c r="G95" t="s">
        <v>14</v>
      </c>
      <c r="H95" s="10">
        <v>134545</v>
      </c>
      <c r="I95">
        <v>0</v>
      </c>
    </row>
    <row r="96" spans="1:9">
      <c r="A96">
        <v>292</v>
      </c>
      <c r="B96" t="s">
        <v>16</v>
      </c>
      <c r="C96" t="s">
        <v>23</v>
      </c>
      <c r="D96" t="s">
        <v>11</v>
      </c>
      <c r="E96">
        <v>215</v>
      </c>
      <c r="F96">
        <v>2021</v>
      </c>
      <c r="G96" t="s">
        <v>12</v>
      </c>
      <c r="H96" s="1">
        <v>36832.799999999901</v>
      </c>
      <c r="I96">
        <v>0</v>
      </c>
    </row>
    <row r="97" spans="1:9">
      <c r="A97">
        <v>313</v>
      </c>
      <c r="B97" t="s">
        <v>16</v>
      </c>
      <c r="C97" t="s">
        <v>17</v>
      </c>
      <c r="D97" t="s">
        <v>11</v>
      </c>
      <c r="E97">
        <v>140</v>
      </c>
      <c r="F97">
        <v>2021</v>
      </c>
      <c r="G97" t="s">
        <v>18</v>
      </c>
      <c r="H97" s="10">
        <v>30336</v>
      </c>
      <c r="I97">
        <v>0</v>
      </c>
    </row>
    <row r="98" spans="1:9">
      <c r="A98">
        <v>315</v>
      </c>
      <c r="B98" t="s">
        <v>16</v>
      </c>
      <c r="C98" t="s">
        <v>19</v>
      </c>
      <c r="D98" t="s">
        <v>13</v>
      </c>
      <c r="E98">
        <v>140</v>
      </c>
      <c r="F98">
        <v>2021</v>
      </c>
      <c r="G98" t="s">
        <v>22</v>
      </c>
      <c r="H98" s="10">
        <v>35496</v>
      </c>
      <c r="I98">
        <v>0</v>
      </c>
    </row>
    <row r="99" spans="1:9">
      <c r="A99">
        <v>347</v>
      </c>
      <c r="B99" t="s">
        <v>9</v>
      </c>
      <c r="C99" t="s">
        <v>19</v>
      </c>
      <c r="D99" t="s">
        <v>11</v>
      </c>
      <c r="E99">
        <v>200</v>
      </c>
      <c r="F99">
        <v>2021</v>
      </c>
      <c r="G99" t="s">
        <v>18</v>
      </c>
      <c r="H99" s="10">
        <v>104378.4</v>
      </c>
      <c r="I99">
        <v>0</v>
      </c>
    </row>
    <row r="100" spans="1:9">
      <c r="A100">
        <v>349</v>
      </c>
      <c r="B100" t="s">
        <v>16</v>
      </c>
      <c r="C100" t="s">
        <v>23</v>
      </c>
      <c r="D100" t="s">
        <v>11</v>
      </c>
      <c r="E100">
        <v>120</v>
      </c>
      <c r="F100">
        <v>2021</v>
      </c>
      <c r="G100" t="s">
        <v>12</v>
      </c>
      <c r="H100" s="10">
        <v>37940.400000000001</v>
      </c>
      <c r="I100">
        <v>0</v>
      </c>
    </row>
    <row r="101" spans="1:9">
      <c r="A101">
        <v>350</v>
      </c>
      <c r="B101" t="s">
        <v>16</v>
      </c>
      <c r="C101" t="s">
        <v>19</v>
      </c>
      <c r="D101" t="s">
        <v>11</v>
      </c>
      <c r="E101">
        <v>220</v>
      </c>
      <c r="F101">
        <v>2021</v>
      </c>
      <c r="G101" t="s">
        <v>14</v>
      </c>
      <c r="H101" s="10">
        <v>27264</v>
      </c>
      <c r="I101">
        <v>0</v>
      </c>
    </row>
    <row r="102" spans="1:9">
      <c r="A102">
        <v>352</v>
      </c>
      <c r="B102" t="s">
        <v>16</v>
      </c>
      <c r="C102" t="s">
        <v>10</v>
      </c>
      <c r="D102" t="s">
        <v>13</v>
      </c>
      <c r="E102">
        <v>180</v>
      </c>
      <c r="F102">
        <v>2021</v>
      </c>
      <c r="G102" t="s">
        <v>18</v>
      </c>
      <c r="H102" s="1">
        <v>33214.799999999901</v>
      </c>
      <c r="I102">
        <v>0</v>
      </c>
    </row>
    <row r="103" spans="1:9">
      <c r="A103">
        <v>356</v>
      </c>
      <c r="B103" t="s">
        <v>16</v>
      </c>
      <c r="C103" t="s">
        <v>23</v>
      </c>
      <c r="D103" t="s">
        <v>13</v>
      </c>
      <c r="E103">
        <v>240</v>
      </c>
      <c r="F103">
        <v>2021</v>
      </c>
      <c r="G103" t="s">
        <v>12</v>
      </c>
      <c r="H103" s="1">
        <v>38506.799999999901</v>
      </c>
      <c r="I103">
        <v>0</v>
      </c>
    </row>
    <row r="104" spans="1:9">
      <c r="A104">
        <v>367</v>
      </c>
      <c r="B104" t="s">
        <v>16</v>
      </c>
      <c r="C104" t="s">
        <v>23</v>
      </c>
      <c r="D104" t="s">
        <v>11</v>
      </c>
      <c r="E104">
        <v>165</v>
      </c>
      <c r="F104">
        <v>2021</v>
      </c>
      <c r="G104" t="s">
        <v>14</v>
      </c>
      <c r="H104" s="10">
        <v>31366.799999999999</v>
      </c>
      <c r="I104">
        <v>0</v>
      </c>
    </row>
    <row r="105" spans="1:9">
      <c r="A105">
        <v>376</v>
      </c>
      <c r="B105" t="s">
        <v>16</v>
      </c>
      <c r="C105" t="s">
        <v>19</v>
      </c>
      <c r="D105" t="s">
        <v>13</v>
      </c>
      <c r="E105">
        <v>200</v>
      </c>
      <c r="F105">
        <v>2021</v>
      </c>
      <c r="G105" t="s">
        <v>14</v>
      </c>
      <c r="H105" s="10">
        <v>35329.199999999997</v>
      </c>
      <c r="I105">
        <v>0</v>
      </c>
    </row>
    <row r="106" spans="1:9">
      <c r="A106">
        <v>382</v>
      </c>
      <c r="B106" t="s">
        <v>16</v>
      </c>
      <c r="C106" t="s">
        <v>17</v>
      </c>
      <c r="D106" t="s">
        <v>11</v>
      </c>
      <c r="E106">
        <v>140</v>
      </c>
      <c r="F106">
        <v>2021</v>
      </c>
      <c r="G106" t="s">
        <v>12</v>
      </c>
      <c r="H106" s="10">
        <v>37566</v>
      </c>
      <c r="I106">
        <v>0</v>
      </c>
    </row>
    <row r="107" spans="1:9">
      <c r="A107">
        <v>405</v>
      </c>
      <c r="B107" t="s">
        <v>20</v>
      </c>
      <c r="C107" t="s">
        <v>23</v>
      </c>
      <c r="D107" t="s">
        <v>11</v>
      </c>
      <c r="E107">
        <v>225</v>
      </c>
      <c r="F107">
        <v>2022</v>
      </c>
      <c r="G107" t="s">
        <v>12</v>
      </c>
      <c r="H107" s="10">
        <v>129996.24</v>
      </c>
      <c r="I107">
        <v>0</v>
      </c>
    </row>
    <row r="108" spans="1:9">
      <c r="A108">
        <v>409</v>
      </c>
      <c r="B108" t="s">
        <v>16</v>
      </c>
      <c r="C108" t="s">
        <v>17</v>
      </c>
      <c r="D108" t="s">
        <v>11</v>
      </c>
      <c r="E108">
        <v>185</v>
      </c>
      <c r="F108">
        <v>2022</v>
      </c>
      <c r="G108" t="s">
        <v>18</v>
      </c>
      <c r="H108" s="10">
        <v>37256.699999999997</v>
      </c>
      <c r="I108">
        <v>0</v>
      </c>
    </row>
    <row r="109" spans="1:9">
      <c r="A109">
        <v>410</v>
      </c>
      <c r="B109" t="s">
        <v>9</v>
      </c>
      <c r="C109" t="s">
        <v>17</v>
      </c>
      <c r="D109" t="s">
        <v>13</v>
      </c>
      <c r="E109">
        <v>140</v>
      </c>
      <c r="F109">
        <v>2022</v>
      </c>
      <c r="G109" t="s">
        <v>14</v>
      </c>
      <c r="H109" s="1">
        <v>126424.319999999</v>
      </c>
      <c r="I109">
        <v>0</v>
      </c>
    </row>
    <row r="110" spans="1:9">
      <c r="A110">
        <v>412</v>
      </c>
      <c r="B110" t="s">
        <v>16</v>
      </c>
      <c r="C110" t="s">
        <v>23</v>
      </c>
      <c r="D110" t="s">
        <v>11</v>
      </c>
      <c r="E110">
        <v>230</v>
      </c>
      <c r="F110">
        <v>2022</v>
      </c>
      <c r="G110" t="s">
        <v>12</v>
      </c>
      <c r="H110" s="10">
        <v>37924.589999999997</v>
      </c>
      <c r="I110">
        <v>0</v>
      </c>
    </row>
    <row r="111" spans="1:9">
      <c r="A111">
        <v>425</v>
      </c>
      <c r="B111" t="s">
        <v>20</v>
      </c>
      <c r="C111" t="s">
        <v>15</v>
      </c>
      <c r="D111" t="s">
        <v>13</v>
      </c>
      <c r="E111">
        <v>200</v>
      </c>
      <c r="F111">
        <v>2022</v>
      </c>
      <c r="G111" t="s">
        <v>14</v>
      </c>
      <c r="H111" s="10">
        <v>123644.52</v>
      </c>
      <c r="I111">
        <v>0</v>
      </c>
    </row>
    <row r="112" spans="1:9">
      <c r="A112">
        <v>426</v>
      </c>
      <c r="B112" t="s">
        <v>20</v>
      </c>
      <c r="C112" t="s">
        <v>17</v>
      </c>
      <c r="D112" t="s">
        <v>11</v>
      </c>
      <c r="E112">
        <v>185</v>
      </c>
      <c r="F112">
        <v>2022</v>
      </c>
      <c r="G112" t="s">
        <v>12</v>
      </c>
      <c r="H112" s="10">
        <v>124918.8</v>
      </c>
      <c r="I112">
        <v>0</v>
      </c>
    </row>
    <row r="113" spans="1:9">
      <c r="A113">
        <v>430</v>
      </c>
      <c r="B113" t="s">
        <v>16</v>
      </c>
      <c r="C113" t="s">
        <v>23</v>
      </c>
      <c r="D113" t="s">
        <v>11</v>
      </c>
      <c r="E113">
        <v>140</v>
      </c>
      <c r="F113">
        <v>2022</v>
      </c>
      <c r="G113" t="s">
        <v>14</v>
      </c>
      <c r="H113" s="1">
        <v>43512.479999999901</v>
      </c>
      <c r="I113">
        <v>0</v>
      </c>
    </row>
    <row r="114" spans="1:9">
      <c r="A114">
        <v>436</v>
      </c>
      <c r="B114" t="s">
        <v>9</v>
      </c>
      <c r="C114" t="s">
        <v>10</v>
      </c>
      <c r="D114" t="s">
        <v>13</v>
      </c>
      <c r="E114">
        <v>240</v>
      </c>
      <c r="F114">
        <v>2022</v>
      </c>
      <c r="G114" t="s">
        <v>22</v>
      </c>
      <c r="H114" s="10">
        <v>116604</v>
      </c>
      <c r="I114">
        <v>0</v>
      </c>
    </row>
    <row r="115" spans="1:9">
      <c r="A115">
        <v>437</v>
      </c>
      <c r="B115" t="s">
        <v>16</v>
      </c>
      <c r="C115" t="s">
        <v>15</v>
      </c>
      <c r="D115" t="s">
        <v>11</v>
      </c>
      <c r="E115">
        <v>230</v>
      </c>
      <c r="F115">
        <v>2022</v>
      </c>
      <c r="G115" t="s">
        <v>14</v>
      </c>
      <c r="H115" s="10">
        <v>38195.19</v>
      </c>
      <c r="I115">
        <v>0</v>
      </c>
    </row>
    <row r="116" spans="1:9">
      <c r="A116">
        <v>443</v>
      </c>
      <c r="B116" t="s">
        <v>16</v>
      </c>
      <c r="C116" t="s">
        <v>17</v>
      </c>
      <c r="D116" t="s">
        <v>13</v>
      </c>
      <c r="E116">
        <v>95</v>
      </c>
      <c r="F116">
        <v>2022</v>
      </c>
      <c r="G116" t="s">
        <v>22</v>
      </c>
      <c r="H116" s="1">
        <v>32262.8999999999</v>
      </c>
      <c r="I116">
        <v>0</v>
      </c>
    </row>
    <row r="117" spans="1:9">
      <c r="A117">
        <v>444</v>
      </c>
      <c r="B117" t="s">
        <v>16</v>
      </c>
      <c r="C117" t="s">
        <v>10</v>
      </c>
      <c r="D117" t="s">
        <v>11</v>
      </c>
      <c r="E117">
        <v>235</v>
      </c>
      <c r="F117">
        <v>2022</v>
      </c>
      <c r="G117" t="s">
        <v>14</v>
      </c>
      <c r="H117" s="10">
        <v>47862.99</v>
      </c>
      <c r="I117">
        <v>0</v>
      </c>
    </row>
    <row r="118" spans="1:9">
      <c r="A118">
        <v>450</v>
      </c>
      <c r="B118" t="s">
        <v>9</v>
      </c>
      <c r="C118" t="s">
        <v>23</v>
      </c>
      <c r="D118" t="s">
        <v>13</v>
      </c>
      <c r="E118">
        <v>145</v>
      </c>
      <c r="F118">
        <v>2022</v>
      </c>
      <c r="G118" t="s">
        <v>12</v>
      </c>
      <c r="H118" s="10">
        <v>100376.61</v>
      </c>
      <c r="I118">
        <v>0</v>
      </c>
    </row>
    <row r="119" spans="1:9">
      <c r="A119">
        <v>458</v>
      </c>
      <c r="B119" t="s">
        <v>16</v>
      </c>
      <c r="C119" t="s">
        <v>10</v>
      </c>
      <c r="D119" t="s">
        <v>11</v>
      </c>
      <c r="E119">
        <v>180</v>
      </c>
      <c r="F119">
        <v>2022</v>
      </c>
      <c r="G119" t="s">
        <v>22</v>
      </c>
      <c r="H119" s="10">
        <v>34838.519999999997</v>
      </c>
      <c r="I119">
        <v>0</v>
      </c>
    </row>
    <row r="120" spans="1:9">
      <c r="A120">
        <v>498</v>
      </c>
      <c r="B120" t="s">
        <v>16</v>
      </c>
      <c r="C120" t="s">
        <v>17</v>
      </c>
      <c r="D120" t="s">
        <v>24</v>
      </c>
      <c r="E120">
        <v>140</v>
      </c>
      <c r="F120">
        <v>2022</v>
      </c>
      <c r="G120" t="s">
        <v>14</v>
      </c>
      <c r="H120" s="10">
        <v>35860</v>
      </c>
      <c r="I120">
        <v>0</v>
      </c>
    </row>
    <row r="121" spans="1:9">
      <c r="A121">
        <v>500</v>
      </c>
      <c r="B121" t="s">
        <v>20</v>
      </c>
      <c r="C121" t="s">
        <v>15</v>
      </c>
      <c r="D121" t="s">
        <v>11</v>
      </c>
      <c r="E121">
        <v>170</v>
      </c>
      <c r="F121">
        <v>2022</v>
      </c>
      <c r="G121" t="s">
        <v>12</v>
      </c>
      <c r="H121" s="10">
        <v>121382.5</v>
      </c>
      <c r="I121">
        <v>0</v>
      </c>
    </row>
    <row r="122" spans="1:9">
      <c r="A122">
        <v>8</v>
      </c>
      <c r="B122" t="s">
        <v>9</v>
      </c>
      <c r="C122" t="s">
        <v>10</v>
      </c>
      <c r="D122" t="s">
        <v>11</v>
      </c>
      <c r="E122">
        <v>125</v>
      </c>
      <c r="F122">
        <v>2017</v>
      </c>
      <c r="G122" t="s">
        <v>22</v>
      </c>
      <c r="H122" s="10">
        <v>87868</v>
      </c>
      <c r="I122">
        <v>0</v>
      </c>
    </row>
    <row r="123" spans="1:9">
      <c r="A123">
        <v>50</v>
      </c>
      <c r="B123" t="s">
        <v>9</v>
      </c>
      <c r="C123" t="s">
        <v>15</v>
      </c>
      <c r="D123" t="s">
        <v>11</v>
      </c>
      <c r="E123">
        <v>120</v>
      </c>
      <c r="F123">
        <v>2018</v>
      </c>
      <c r="G123" t="s">
        <v>14</v>
      </c>
      <c r="H123" s="10">
        <v>105296.1</v>
      </c>
      <c r="I123">
        <v>0</v>
      </c>
    </row>
    <row r="124" spans="1:9">
      <c r="A124">
        <v>58</v>
      </c>
      <c r="B124" t="s">
        <v>20</v>
      </c>
      <c r="C124" t="s">
        <v>17</v>
      </c>
      <c r="D124" t="s">
        <v>11</v>
      </c>
      <c r="E124">
        <v>200</v>
      </c>
      <c r="F124">
        <v>2018</v>
      </c>
      <c r="G124" t="s">
        <v>14</v>
      </c>
      <c r="H124" s="10">
        <v>99344.53</v>
      </c>
      <c r="I124">
        <v>0</v>
      </c>
    </row>
    <row r="125" spans="1:9">
      <c r="A125">
        <v>70</v>
      </c>
      <c r="B125" t="s">
        <v>9</v>
      </c>
      <c r="C125" t="s">
        <v>19</v>
      </c>
      <c r="D125" t="s">
        <v>13</v>
      </c>
      <c r="E125">
        <v>170</v>
      </c>
      <c r="F125">
        <v>2018</v>
      </c>
      <c r="G125" t="s">
        <v>18</v>
      </c>
      <c r="H125" s="10">
        <v>90702.83</v>
      </c>
      <c r="I125">
        <v>0</v>
      </c>
    </row>
    <row r="126" spans="1:9">
      <c r="A126">
        <v>91</v>
      </c>
      <c r="B126" t="s">
        <v>9</v>
      </c>
      <c r="C126" t="s">
        <v>15</v>
      </c>
      <c r="D126" t="s">
        <v>11</v>
      </c>
      <c r="E126">
        <v>210</v>
      </c>
      <c r="F126">
        <v>2018</v>
      </c>
      <c r="G126" t="s">
        <v>12</v>
      </c>
      <c r="H126" s="10">
        <v>95193.63</v>
      </c>
      <c r="I126">
        <v>0</v>
      </c>
    </row>
    <row r="127" spans="1:9">
      <c r="A127">
        <v>92</v>
      </c>
      <c r="B127" t="s">
        <v>16</v>
      </c>
      <c r="C127" t="s">
        <v>10</v>
      </c>
      <c r="D127" t="s">
        <v>13</v>
      </c>
      <c r="E127">
        <v>105</v>
      </c>
      <c r="F127">
        <v>2018</v>
      </c>
      <c r="G127" t="s">
        <v>22</v>
      </c>
      <c r="H127" s="1">
        <v>26047.67</v>
      </c>
      <c r="I127">
        <v>0</v>
      </c>
    </row>
    <row r="128" spans="1:9">
      <c r="A128">
        <v>94</v>
      </c>
      <c r="B128" t="s">
        <v>16</v>
      </c>
      <c r="C128" t="s">
        <v>19</v>
      </c>
      <c r="D128" t="s">
        <v>13</v>
      </c>
      <c r="E128">
        <v>180</v>
      </c>
      <c r="F128">
        <v>2018</v>
      </c>
      <c r="G128" t="s">
        <v>12</v>
      </c>
      <c r="H128" s="10">
        <v>21810.25</v>
      </c>
      <c r="I128">
        <v>0</v>
      </c>
    </row>
    <row r="129" spans="1:9">
      <c r="A129">
        <v>102</v>
      </c>
      <c r="B129" t="s">
        <v>9</v>
      </c>
      <c r="C129" t="s">
        <v>17</v>
      </c>
      <c r="D129" t="s">
        <v>13</v>
      </c>
      <c r="E129">
        <v>150</v>
      </c>
      <c r="F129">
        <v>2018</v>
      </c>
      <c r="G129" t="s">
        <v>22</v>
      </c>
      <c r="H129" s="10">
        <v>101430</v>
      </c>
      <c r="I129">
        <v>0</v>
      </c>
    </row>
    <row r="130" spans="1:9">
      <c r="A130">
        <v>109</v>
      </c>
      <c r="B130" t="s">
        <v>20</v>
      </c>
      <c r="C130" t="s">
        <v>15</v>
      </c>
      <c r="D130" t="s">
        <v>11</v>
      </c>
      <c r="E130">
        <v>205</v>
      </c>
      <c r="F130">
        <v>2018</v>
      </c>
      <c r="G130" t="s">
        <v>12</v>
      </c>
      <c r="H130" s="10">
        <v>82589.52</v>
      </c>
      <c r="I130">
        <v>0</v>
      </c>
    </row>
    <row r="131" spans="1:9">
      <c r="A131">
        <v>110</v>
      </c>
      <c r="B131" t="s">
        <v>9</v>
      </c>
      <c r="C131" t="s">
        <v>23</v>
      </c>
      <c r="D131" t="s">
        <v>11</v>
      </c>
      <c r="E131">
        <v>135</v>
      </c>
      <c r="F131">
        <v>2018</v>
      </c>
      <c r="G131" t="s">
        <v>14</v>
      </c>
      <c r="H131" s="10">
        <v>83491.8</v>
      </c>
      <c r="I131">
        <v>0</v>
      </c>
    </row>
    <row r="132" spans="1:9">
      <c r="A132">
        <v>121</v>
      </c>
      <c r="B132" t="s">
        <v>16</v>
      </c>
      <c r="C132" t="s">
        <v>17</v>
      </c>
      <c r="D132" t="s">
        <v>11</v>
      </c>
      <c r="E132">
        <v>115</v>
      </c>
      <c r="F132">
        <v>2019</v>
      </c>
      <c r="G132" t="s">
        <v>18</v>
      </c>
      <c r="H132" s="10">
        <v>37370.300000000003</v>
      </c>
      <c r="I132">
        <v>0</v>
      </c>
    </row>
    <row r="133" spans="1:9">
      <c r="A133">
        <v>142</v>
      </c>
      <c r="B133" t="s">
        <v>9</v>
      </c>
      <c r="C133" t="s">
        <v>19</v>
      </c>
      <c r="D133" t="s">
        <v>13</v>
      </c>
      <c r="E133">
        <v>175</v>
      </c>
      <c r="F133">
        <v>2019</v>
      </c>
      <c r="G133" t="s">
        <v>14</v>
      </c>
      <c r="H133" s="10">
        <v>104130.16</v>
      </c>
      <c r="I133">
        <v>0</v>
      </c>
    </row>
    <row r="134" spans="1:9">
      <c r="A134">
        <v>144</v>
      </c>
      <c r="B134" t="s">
        <v>9</v>
      </c>
      <c r="C134" t="s">
        <v>19</v>
      </c>
      <c r="D134" t="s">
        <v>11</v>
      </c>
      <c r="E134">
        <v>185</v>
      </c>
      <c r="F134">
        <v>2019</v>
      </c>
      <c r="G134" t="s">
        <v>18</v>
      </c>
      <c r="H134" s="1">
        <v>96296.76</v>
      </c>
      <c r="I134">
        <v>0</v>
      </c>
    </row>
    <row r="135" spans="1:9">
      <c r="A135">
        <v>155</v>
      </c>
      <c r="B135" t="s">
        <v>9</v>
      </c>
      <c r="C135" t="s">
        <v>10</v>
      </c>
      <c r="D135" t="s">
        <v>13</v>
      </c>
      <c r="E135">
        <v>125</v>
      </c>
      <c r="F135">
        <v>2019</v>
      </c>
      <c r="G135" t="s">
        <v>22</v>
      </c>
      <c r="H135" s="10">
        <v>103926.64</v>
      </c>
      <c r="I135">
        <v>0</v>
      </c>
    </row>
    <row r="136" spans="1:9">
      <c r="A136">
        <v>170</v>
      </c>
      <c r="B136" t="s">
        <v>16</v>
      </c>
      <c r="C136" t="s">
        <v>15</v>
      </c>
      <c r="D136" t="s">
        <v>11</v>
      </c>
      <c r="E136">
        <v>195</v>
      </c>
      <c r="F136">
        <v>2019</v>
      </c>
      <c r="G136" t="s">
        <v>18</v>
      </c>
      <c r="H136" s="1">
        <v>30138.48</v>
      </c>
      <c r="I136">
        <v>0</v>
      </c>
    </row>
    <row r="137" spans="1:9">
      <c r="A137">
        <v>171</v>
      </c>
      <c r="B137" t="s">
        <v>16</v>
      </c>
      <c r="C137" t="s">
        <v>23</v>
      </c>
      <c r="D137" t="s">
        <v>11</v>
      </c>
      <c r="E137">
        <v>120</v>
      </c>
      <c r="F137">
        <v>2019</v>
      </c>
      <c r="G137" t="s">
        <v>14</v>
      </c>
      <c r="H137" s="10">
        <v>35468.400000000001</v>
      </c>
      <c r="I137">
        <v>0</v>
      </c>
    </row>
    <row r="138" spans="1:9">
      <c r="A138">
        <v>173</v>
      </c>
      <c r="B138" t="s">
        <v>20</v>
      </c>
      <c r="C138" t="s">
        <v>19</v>
      </c>
      <c r="D138" t="s">
        <v>11</v>
      </c>
      <c r="E138">
        <v>160</v>
      </c>
      <c r="F138">
        <v>2019</v>
      </c>
      <c r="G138" t="s">
        <v>22</v>
      </c>
      <c r="H138" s="1">
        <v>116568.2</v>
      </c>
      <c r="I138">
        <v>0</v>
      </c>
    </row>
    <row r="139" spans="1:9">
      <c r="A139">
        <v>192</v>
      </c>
      <c r="B139" t="s">
        <v>16</v>
      </c>
      <c r="C139" t="s">
        <v>19</v>
      </c>
      <c r="D139" t="s">
        <v>11</v>
      </c>
      <c r="E139">
        <v>135</v>
      </c>
      <c r="F139">
        <v>2019</v>
      </c>
      <c r="G139" t="s">
        <v>14</v>
      </c>
      <c r="H139" s="10">
        <v>30542.84</v>
      </c>
      <c r="I139">
        <v>0</v>
      </c>
    </row>
    <row r="140" spans="1:9">
      <c r="A140">
        <v>205</v>
      </c>
      <c r="B140" t="s">
        <v>9</v>
      </c>
      <c r="C140" t="s">
        <v>10</v>
      </c>
      <c r="D140" t="s">
        <v>13</v>
      </c>
      <c r="E140">
        <v>190</v>
      </c>
      <c r="F140">
        <v>2019</v>
      </c>
      <c r="G140" t="s">
        <v>22</v>
      </c>
      <c r="H140" s="10">
        <v>108537.64</v>
      </c>
      <c r="I140">
        <v>0</v>
      </c>
    </row>
    <row r="141" spans="1:9">
      <c r="A141">
        <v>210</v>
      </c>
      <c r="B141" t="s">
        <v>9</v>
      </c>
      <c r="C141" t="s">
        <v>23</v>
      </c>
      <c r="D141" t="s">
        <v>13</v>
      </c>
      <c r="E141">
        <v>205</v>
      </c>
      <c r="F141">
        <v>2019</v>
      </c>
      <c r="G141" t="s">
        <v>18</v>
      </c>
      <c r="H141" s="1">
        <v>117630.7</v>
      </c>
      <c r="I141">
        <v>0</v>
      </c>
    </row>
    <row r="142" spans="1:9">
      <c r="A142">
        <v>220</v>
      </c>
      <c r="B142" t="s">
        <v>9</v>
      </c>
      <c r="C142" t="s">
        <v>23</v>
      </c>
      <c r="D142" t="s">
        <v>11</v>
      </c>
      <c r="E142">
        <v>125</v>
      </c>
      <c r="F142">
        <v>2019</v>
      </c>
      <c r="G142" t="s">
        <v>12</v>
      </c>
      <c r="H142" s="10">
        <v>93743.22</v>
      </c>
      <c r="I142">
        <v>0</v>
      </c>
    </row>
    <row r="143" spans="1:9">
      <c r="A143">
        <v>238</v>
      </c>
      <c r="B143" t="s">
        <v>9</v>
      </c>
      <c r="C143" t="s">
        <v>19</v>
      </c>
      <c r="D143" t="s">
        <v>11</v>
      </c>
      <c r="E143">
        <v>170</v>
      </c>
      <c r="F143">
        <v>2019</v>
      </c>
      <c r="G143" t="s">
        <v>14</v>
      </c>
      <c r="H143" s="10">
        <v>91218.96</v>
      </c>
      <c r="I143">
        <v>0</v>
      </c>
    </row>
    <row r="144" spans="1:9">
      <c r="A144">
        <v>240</v>
      </c>
      <c r="B144" t="s">
        <v>16</v>
      </c>
      <c r="C144" t="s">
        <v>19</v>
      </c>
      <c r="D144" t="s">
        <v>13</v>
      </c>
      <c r="E144">
        <v>110</v>
      </c>
      <c r="F144">
        <v>2019</v>
      </c>
      <c r="G144" t="s">
        <v>14</v>
      </c>
      <c r="H144" s="10">
        <v>35835.42</v>
      </c>
      <c r="I144">
        <v>0</v>
      </c>
    </row>
    <row r="145" spans="1:9">
      <c r="A145">
        <v>244</v>
      </c>
      <c r="B145" t="s">
        <v>16</v>
      </c>
      <c r="C145" t="s">
        <v>23</v>
      </c>
      <c r="D145" t="s">
        <v>11</v>
      </c>
      <c r="E145">
        <v>240</v>
      </c>
      <c r="F145">
        <v>2019</v>
      </c>
      <c r="G145" t="s">
        <v>22</v>
      </c>
      <c r="H145" s="10">
        <v>41961.16</v>
      </c>
      <c r="I145">
        <v>0</v>
      </c>
    </row>
    <row r="146" spans="1:9">
      <c r="A146">
        <v>250</v>
      </c>
      <c r="B146" t="s">
        <v>9</v>
      </c>
      <c r="C146" t="s">
        <v>10</v>
      </c>
      <c r="D146" t="s">
        <v>13</v>
      </c>
      <c r="E146">
        <v>95</v>
      </c>
      <c r="F146">
        <v>2019</v>
      </c>
      <c r="G146" t="s">
        <v>12</v>
      </c>
      <c r="H146" s="10">
        <v>107901.72</v>
      </c>
      <c r="I146">
        <v>0</v>
      </c>
    </row>
    <row r="147" spans="1:9">
      <c r="A147">
        <v>267</v>
      </c>
      <c r="B147" t="s">
        <v>16</v>
      </c>
      <c r="C147" t="s">
        <v>19</v>
      </c>
      <c r="D147" t="s">
        <v>11</v>
      </c>
      <c r="E147">
        <v>110</v>
      </c>
      <c r="F147">
        <v>2020</v>
      </c>
      <c r="G147" t="s">
        <v>22</v>
      </c>
      <c r="H147" s="10">
        <v>38785</v>
      </c>
      <c r="I147">
        <v>0</v>
      </c>
    </row>
    <row r="148" spans="1:9">
      <c r="A148">
        <v>269</v>
      </c>
      <c r="B148" t="s">
        <v>9</v>
      </c>
      <c r="C148" t="s">
        <v>10</v>
      </c>
      <c r="D148" t="s">
        <v>11</v>
      </c>
      <c r="E148">
        <v>130</v>
      </c>
      <c r="F148">
        <v>2020</v>
      </c>
      <c r="G148" t="s">
        <v>22</v>
      </c>
      <c r="H148" s="10">
        <v>107877.5</v>
      </c>
      <c r="I148">
        <v>0</v>
      </c>
    </row>
    <row r="149" spans="1:9">
      <c r="A149">
        <v>272</v>
      </c>
      <c r="B149" t="s">
        <v>16</v>
      </c>
      <c r="C149" t="s">
        <v>23</v>
      </c>
      <c r="D149" t="s">
        <v>11</v>
      </c>
      <c r="E149">
        <v>165</v>
      </c>
      <c r="F149">
        <v>2020</v>
      </c>
      <c r="G149" t="s">
        <v>22</v>
      </c>
      <c r="H149" s="10">
        <v>39625</v>
      </c>
      <c r="I149">
        <v>0</v>
      </c>
    </row>
    <row r="150" spans="1:9">
      <c r="A150">
        <v>299</v>
      </c>
      <c r="B150" t="s">
        <v>9</v>
      </c>
      <c r="C150" t="s">
        <v>10</v>
      </c>
      <c r="D150" t="s">
        <v>11</v>
      </c>
      <c r="E150">
        <v>105</v>
      </c>
      <c r="F150">
        <v>2021</v>
      </c>
      <c r="G150" t="s">
        <v>12</v>
      </c>
      <c r="H150" s="1">
        <v>121714.799999999</v>
      </c>
      <c r="I150">
        <v>0</v>
      </c>
    </row>
    <row r="151" spans="1:9">
      <c r="A151">
        <v>307</v>
      </c>
      <c r="B151" t="s">
        <v>9</v>
      </c>
      <c r="C151" t="s">
        <v>10</v>
      </c>
      <c r="D151" t="s">
        <v>13</v>
      </c>
      <c r="E151">
        <v>185</v>
      </c>
      <c r="F151">
        <v>2021</v>
      </c>
      <c r="G151" t="s">
        <v>22</v>
      </c>
      <c r="H151" s="10">
        <v>114187.2</v>
      </c>
      <c r="I151">
        <v>0</v>
      </c>
    </row>
    <row r="152" spans="1:9">
      <c r="A152">
        <v>323</v>
      </c>
      <c r="B152" t="s">
        <v>16</v>
      </c>
      <c r="C152" t="s">
        <v>10</v>
      </c>
      <c r="D152" t="s">
        <v>11</v>
      </c>
      <c r="E152">
        <v>115</v>
      </c>
      <c r="F152">
        <v>2021</v>
      </c>
      <c r="G152" t="s">
        <v>18</v>
      </c>
      <c r="H152" s="1">
        <v>29636.3999999999</v>
      </c>
      <c r="I152">
        <v>0</v>
      </c>
    </row>
    <row r="153" spans="1:9">
      <c r="A153">
        <v>331</v>
      </c>
      <c r="B153" t="s">
        <v>16</v>
      </c>
      <c r="C153" t="s">
        <v>19</v>
      </c>
      <c r="D153" t="s">
        <v>11</v>
      </c>
      <c r="E153">
        <v>205</v>
      </c>
      <c r="F153">
        <v>2021</v>
      </c>
      <c r="G153" t="s">
        <v>22</v>
      </c>
      <c r="H153" s="1">
        <v>39892.799999999901</v>
      </c>
      <c r="I153">
        <v>0</v>
      </c>
    </row>
    <row r="154" spans="1:9">
      <c r="A154">
        <v>333</v>
      </c>
      <c r="B154" t="s">
        <v>16</v>
      </c>
      <c r="C154" t="s">
        <v>15</v>
      </c>
      <c r="D154" t="s">
        <v>13</v>
      </c>
      <c r="E154">
        <v>145</v>
      </c>
      <c r="F154">
        <v>2021</v>
      </c>
      <c r="G154" t="s">
        <v>22</v>
      </c>
      <c r="H154" s="1">
        <v>30398.3999999999</v>
      </c>
      <c r="I154">
        <v>0</v>
      </c>
    </row>
    <row r="155" spans="1:9">
      <c r="A155">
        <v>335</v>
      </c>
      <c r="B155" t="s">
        <v>9</v>
      </c>
      <c r="C155" t="s">
        <v>23</v>
      </c>
      <c r="D155" t="s">
        <v>11</v>
      </c>
      <c r="E155">
        <v>190</v>
      </c>
      <c r="F155">
        <v>2021</v>
      </c>
      <c r="G155" t="s">
        <v>18</v>
      </c>
      <c r="H155" s="1">
        <v>128043.599999999</v>
      </c>
      <c r="I155">
        <v>0</v>
      </c>
    </row>
    <row r="156" spans="1:9">
      <c r="A156">
        <v>355</v>
      </c>
      <c r="B156" t="s">
        <v>9</v>
      </c>
      <c r="C156" t="s">
        <v>19</v>
      </c>
      <c r="D156" t="s">
        <v>13</v>
      </c>
      <c r="E156">
        <v>195</v>
      </c>
      <c r="F156">
        <v>2021</v>
      </c>
      <c r="G156" t="s">
        <v>14</v>
      </c>
      <c r="H156" s="10">
        <v>98618.4</v>
      </c>
      <c r="I156">
        <v>0</v>
      </c>
    </row>
    <row r="157" spans="1:9">
      <c r="A157">
        <v>363</v>
      </c>
      <c r="B157" t="s">
        <v>16</v>
      </c>
      <c r="C157" t="s">
        <v>19</v>
      </c>
      <c r="D157" t="s">
        <v>13</v>
      </c>
      <c r="E157">
        <v>185</v>
      </c>
      <c r="F157">
        <v>2021</v>
      </c>
      <c r="G157" t="s">
        <v>22</v>
      </c>
      <c r="H157" s="10">
        <v>44119.199999999997</v>
      </c>
      <c r="I157">
        <v>0</v>
      </c>
    </row>
    <row r="158" spans="1:9">
      <c r="A158">
        <v>397</v>
      </c>
      <c r="B158" t="s">
        <v>16</v>
      </c>
      <c r="C158" t="s">
        <v>10</v>
      </c>
      <c r="D158" t="s">
        <v>11</v>
      </c>
      <c r="E158">
        <v>220</v>
      </c>
      <c r="F158">
        <v>2021</v>
      </c>
      <c r="G158" t="s">
        <v>22</v>
      </c>
      <c r="H158" s="10">
        <v>27312</v>
      </c>
      <c r="I158">
        <v>0</v>
      </c>
    </row>
    <row r="159" spans="1:9">
      <c r="A159">
        <v>398</v>
      </c>
      <c r="B159" t="s">
        <v>9</v>
      </c>
      <c r="C159" t="s">
        <v>19</v>
      </c>
      <c r="D159" t="s">
        <v>13</v>
      </c>
      <c r="E159">
        <v>105</v>
      </c>
      <c r="F159">
        <v>2021</v>
      </c>
      <c r="G159" t="s">
        <v>22</v>
      </c>
      <c r="H159" s="10">
        <v>108384</v>
      </c>
      <c r="I159">
        <v>0</v>
      </c>
    </row>
    <row r="160" spans="1:9">
      <c r="A160">
        <v>417</v>
      </c>
      <c r="B160" t="s">
        <v>16</v>
      </c>
      <c r="C160" t="s">
        <v>19</v>
      </c>
      <c r="D160" t="s">
        <v>13</v>
      </c>
      <c r="E160">
        <v>90</v>
      </c>
      <c r="F160">
        <v>2022</v>
      </c>
      <c r="G160" t="s">
        <v>14</v>
      </c>
      <c r="H160" s="10">
        <v>31079.64</v>
      </c>
      <c r="I160">
        <v>0</v>
      </c>
    </row>
    <row r="161" spans="1:9">
      <c r="A161">
        <v>418</v>
      </c>
      <c r="B161" t="s">
        <v>16</v>
      </c>
      <c r="C161" t="s">
        <v>15</v>
      </c>
      <c r="D161" t="s">
        <v>11</v>
      </c>
      <c r="E161">
        <v>115</v>
      </c>
      <c r="F161">
        <v>2022</v>
      </c>
      <c r="G161" t="s">
        <v>18</v>
      </c>
      <c r="H161" s="10">
        <v>31531.05</v>
      </c>
      <c r="I161">
        <v>0</v>
      </c>
    </row>
    <row r="162" spans="1:9">
      <c r="A162">
        <v>431</v>
      </c>
      <c r="B162" t="s">
        <v>16</v>
      </c>
      <c r="C162" t="s">
        <v>19</v>
      </c>
      <c r="D162" t="s">
        <v>11</v>
      </c>
      <c r="E162">
        <v>180</v>
      </c>
      <c r="F162">
        <v>2022</v>
      </c>
      <c r="G162" t="s">
        <v>12</v>
      </c>
      <c r="H162" s="10">
        <v>27138.720000000001</v>
      </c>
      <c r="I162">
        <v>0</v>
      </c>
    </row>
    <row r="163" spans="1:9">
      <c r="A163">
        <v>441</v>
      </c>
      <c r="B163" t="s">
        <v>16</v>
      </c>
      <c r="C163" t="s">
        <v>17</v>
      </c>
      <c r="D163" t="s">
        <v>11</v>
      </c>
      <c r="E163">
        <v>210</v>
      </c>
      <c r="F163">
        <v>2022</v>
      </c>
      <c r="G163" t="s">
        <v>18</v>
      </c>
      <c r="H163" s="10">
        <v>46593.63</v>
      </c>
      <c r="I163">
        <v>0</v>
      </c>
    </row>
    <row r="164" spans="1:9">
      <c r="A164">
        <v>446</v>
      </c>
      <c r="B164" t="s">
        <v>9</v>
      </c>
      <c r="C164" t="s">
        <v>19</v>
      </c>
      <c r="D164" t="s">
        <v>11</v>
      </c>
      <c r="E164">
        <v>145</v>
      </c>
      <c r="F164">
        <v>2022</v>
      </c>
      <c r="G164" t="s">
        <v>14</v>
      </c>
      <c r="H164" s="1">
        <v>101815.709999999</v>
      </c>
      <c r="I164">
        <v>0</v>
      </c>
    </row>
    <row r="165" spans="1:9">
      <c r="A165">
        <v>461</v>
      </c>
      <c r="B165" t="s">
        <v>16</v>
      </c>
      <c r="C165" t="s">
        <v>23</v>
      </c>
      <c r="D165" t="s">
        <v>11</v>
      </c>
      <c r="E165">
        <v>125</v>
      </c>
      <c r="F165">
        <v>2022</v>
      </c>
      <c r="G165" t="s">
        <v>22</v>
      </c>
      <c r="H165" s="10">
        <v>48907.26</v>
      </c>
      <c r="I165">
        <v>0</v>
      </c>
    </row>
    <row r="166" spans="1:9">
      <c r="A166">
        <v>467</v>
      </c>
      <c r="B166" t="s">
        <v>16</v>
      </c>
      <c r="C166" t="s">
        <v>23</v>
      </c>
      <c r="D166" t="s">
        <v>13</v>
      </c>
      <c r="E166">
        <v>95</v>
      </c>
      <c r="F166">
        <v>2022</v>
      </c>
      <c r="G166" t="s">
        <v>12</v>
      </c>
      <c r="H166" s="10">
        <v>47280</v>
      </c>
      <c r="I166">
        <v>0</v>
      </c>
    </row>
    <row r="167" spans="1:9">
      <c r="A167">
        <v>480</v>
      </c>
      <c r="B167" t="s">
        <v>16</v>
      </c>
      <c r="C167" t="s">
        <v>10</v>
      </c>
      <c r="D167" t="s">
        <v>11</v>
      </c>
      <c r="E167">
        <v>180</v>
      </c>
      <c r="F167">
        <v>2022</v>
      </c>
      <c r="G167" t="s">
        <v>18</v>
      </c>
      <c r="H167" s="10">
        <v>30970</v>
      </c>
      <c r="I167">
        <v>0</v>
      </c>
    </row>
    <row r="168" spans="1:9">
      <c r="A168">
        <v>484</v>
      </c>
      <c r="B168" t="s">
        <v>16</v>
      </c>
      <c r="C168" t="s">
        <v>19</v>
      </c>
      <c r="D168" t="s">
        <v>29</v>
      </c>
      <c r="E168">
        <v>100</v>
      </c>
      <c r="F168">
        <v>2022</v>
      </c>
      <c r="G168" t="s">
        <v>14</v>
      </c>
      <c r="H168" s="10">
        <v>112375</v>
      </c>
      <c r="I168">
        <v>0</v>
      </c>
    </row>
    <row r="169" spans="1:9">
      <c r="A169">
        <v>16</v>
      </c>
      <c r="B169" t="s">
        <v>16</v>
      </c>
      <c r="C169" t="s">
        <v>17</v>
      </c>
      <c r="D169" t="s">
        <v>11</v>
      </c>
      <c r="E169">
        <v>210</v>
      </c>
      <c r="F169">
        <v>2017</v>
      </c>
      <c r="G169" t="s">
        <v>14</v>
      </c>
      <c r="H169" s="10">
        <v>23964</v>
      </c>
      <c r="I169">
        <v>0</v>
      </c>
    </row>
    <row r="170" spans="1:9">
      <c r="A170">
        <v>21</v>
      </c>
      <c r="B170" t="s">
        <v>9</v>
      </c>
      <c r="C170" t="s">
        <v>19</v>
      </c>
      <c r="D170" t="s">
        <v>11</v>
      </c>
      <c r="E170">
        <v>175</v>
      </c>
      <c r="F170">
        <v>2017</v>
      </c>
      <c r="G170" t="s">
        <v>12</v>
      </c>
      <c r="H170" s="10">
        <v>104788</v>
      </c>
      <c r="I170">
        <v>0</v>
      </c>
    </row>
    <row r="171" spans="1:9">
      <c r="A171">
        <v>31</v>
      </c>
      <c r="B171" t="s">
        <v>9</v>
      </c>
      <c r="C171" t="s">
        <v>15</v>
      </c>
      <c r="D171" t="s">
        <v>13</v>
      </c>
      <c r="E171">
        <v>145</v>
      </c>
      <c r="F171">
        <v>2017</v>
      </c>
      <c r="G171" t="s">
        <v>12</v>
      </c>
      <c r="H171" s="10">
        <v>88961</v>
      </c>
      <c r="I171">
        <v>0</v>
      </c>
    </row>
    <row r="172" spans="1:9">
      <c r="A172">
        <v>63</v>
      </c>
      <c r="B172" t="s">
        <v>16</v>
      </c>
      <c r="C172" t="s">
        <v>17</v>
      </c>
      <c r="D172" t="s">
        <v>11</v>
      </c>
      <c r="E172">
        <v>150</v>
      </c>
      <c r="F172">
        <v>2018</v>
      </c>
      <c r="G172" t="s">
        <v>22</v>
      </c>
      <c r="H172" s="10">
        <v>23647.52</v>
      </c>
      <c r="I172">
        <v>0</v>
      </c>
    </row>
    <row r="173" spans="1:9">
      <c r="A173">
        <v>71</v>
      </c>
      <c r="B173" t="s">
        <v>9</v>
      </c>
      <c r="C173" t="s">
        <v>23</v>
      </c>
      <c r="D173" t="s">
        <v>13</v>
      </c>
      <c r="E173">
        <v>205</v>
      </c>
      <c r="F173">
        <v>2018</v>
      </c>
      <c r="G173" t="s">
        <v>14</v>
      </c>
      <c r="H173" s="10">
        <v>85768.1</v>
      </c>
      <c r="I173">
        <v>0</v>
      </c>
    </row>
    <row r="174" spans="1:9">
      <c r="A174">
        <v>72</v>
      </c>
      <c r="B174" t="s">
        <v>9</v>
      </c>
      <c r="C174" t="s">
        <v>17</v>
      </c>
      <c r="D174" t="s">
        <v>11</v>
      </c>
      <c r="E174">
        <v>190</v>
      </c>
      <c r="F174">
        <v>2018</v>
      </c>
      <c r="G174" t="s">
        <v>14</v>
      </c>
      <c r="H174" s="10">
        <v>94441.36</v>
      </c>
      <c r="I174">
        <v>0</v>
      </c>
    </row>
    <row r="175" spans="1:9">
      <c r="A175">
        <v>74</v>
      </c>
      <c r="B175" t="s">
        <v>16</v>
      </c>
      <c r="C175" t="s">
        <v>23</v>
      </c>
      <c r="D175" t="s">
        <v>11</v>
      </c>
      <c r="E175">
        <v>125</v>
      </c>
      <c r="F175">
        <v>2018</v>
      </c>
      <c r="G175" t="s">
        <v>18</v>
      </c>
      <c r="H175" s="10">
        <v>31138.639999999999</v>
      </c>
      <c r="I175">
        <v>0</v>
      </c>
    </row>
    <row r="176" spans="1:9">
      <c r="A176">
        <v>87</v>
      </c>
      <c r="B176" t="s">
        <v>16</v>
      </c>
      <c r="C176" t="s">
        <v>10</v>
      </c>
      <c r="D176" t="s">
        <v>13</v>
      </c>
      <c r="E176">
        <v>195</v>
      </c>
      <c r="F176">
        <v>2018</v>
      </c>
      <c r="G176" t="s">
        <v>22</v>
      </c>
      <c r="H176" s="1">
        <v>26408.17</v>
      </c>
      <c r="I176">
        <v>0</v>
      </c>
    </row>
    <row r="177" spans="1:9">
      <c r="A177">
        <v>98</v>
      </c>
      <c r="B177" t="s">
        <v>16</v>
      </c>
      <c r="C177" t="s">
        <v>10</v>
      </c>
      <c r="D177" t="s">
        <v>11</v>
      </c>
      <c r="E177">
        <v>95</v>
      </c>
      <c r="F177">
        <v>2018</v>
      </c>
      <c r="G177" t="s">
        <v>22</v>
      </c>
      <c r="H177" s="1">
        <v>37945.199999999997</v>
      </c>
      <c r="I177">
        <v>0</v>
      </c>
    </row>
    <row r="178" spans="1:9">
      <c r="A178">
        <v>108</v>
      </c>
      <c r="B178" t="s">
        <v>16</v>
      </c>
      <c r="C178" t="s">
        <v>15</v>
      </c>
      <c r="D178" t="s">
        <v>11</v>
      </c>
      <c r="E178">
        <v>185</v>
      </c>
      <c r="F178">
        <v>2018</v>
      </c>
      <c r="G178" t="s">
        <v>12</v>
      </c>
      <c r="H178" s="10">
        <v>37694.910000000003</v>
      </c>
      <c r="I178">
        <v>0</v>
      </c>
    </row>
    <row r="179" spans="1:9">
      <c r="A179">
        <v>115</v>
      </c>
      <c r="B179" t="s">
        <v>16</v>
      </c>
      <c r="C179" t="s">
        <v>17</v>
      </c>
      <c r="D179" t="s">
        <v>11</v>
      </c>
      <c r="E179">
        <v>235</v>
      </c>
      <c r="F179">
        <v>2018</v>
      </c>
      <c r="G179" t="s">
        <v>22</v>
      </c>
      <c r="H179" s="10">
        <v>35494.160000000003</v>
      </c>
      <c r="I179">
        <v>0</v>
      </c>
    </row>
    <row r="180" spans="1:9">
      <c r="A180">
        <v>136</v>
      </c>
      <c r="B180" t="s">
        <v>9</v>
      </c>
      <c r="C180" t="s">
        <v>19</v>
      </c>
      <c r="D180" t="s">
        <v>11</v>
      </c>
      <c r="E180">
        <v>230</v>
      </c>
      <c r="F180">
        <v>2019</v>
      </c>
      <c r="G180" t="s">
        <v>12</v>
      </c>
      <c r="H180" s="10">
        <v>106728.6</v>
      </c>
      <c r="I180">
        <v>0</v>
      </c>
    </row>
    <row r="181" spans="1:9">
      <c r="A181">
        <v>141</v>
      </c>
      <c r="B181" t="s">
        <v>16</v>
      </c>
      <c r="C181" t="s">
        <v>17</v>
      </c>
      <c r="D181" t="s">
        <v>11</v>
      </c>
      <c r="E181">
        <v>105</v>
      </c>
      <c r="F181">
        <v>2019</v>
      </c>
      <c r="G181" t="s">
        <v>18</v>
      </c>
      <c r="H181" s="1">
        <v>24252.799999999999</v>
      </c>
      <c r="I181">
        <v>0</v>
      </c>
    </row>
    <row r="182" spans="1:9">
      <c r="A182">
        <v>149</v>
      </c>
      <c r="B182" t="s">
        <v>9</v>
      </c>
      <c r="C182" t="s">
        <v>23</v>
      </c>
      <c r="D182" t="s">
        <v>21</v>
      </c>
      <c r="E182">
        <v>95</v>
      </c>
      <c r="F182">
        <v>2019</v>
      </c>
      <c r="G182" t="s">
        <v>14</v>
      </c>
      <c r="H182" s="1">
        <v>104741.64</v>
      </c>
      <c r="I182">
        <v>0</v>
      </c>
    </row>
    <row r="183" spans="1:9">
      <c r="A183">
        <v>151</v>
      </c>
      <c r="B183" t="s">
        <v>9</v>
      </c>
      <c r="C183" t="s">
        <v>17</v>
      </c>
      <c r="D183" t="s">
        <v>13</v>
      </c>
      <c r="E183">
        <v>100</v>
      </c>
      <c r="F183">
        <v>2019</v>
      </c>
      <c r="G183" t="s">
        <v>12</v>
      </c>
      <c r="H183" s="1">
        <v>98223.84</v>
      </c>
      <c r="I183">
        <v>0</v>
      </c>
    </row>
    <row r="184" spans="1:9">
      <c r="A184">
        <v>156</v>
      </c>
      <c r="B184" t="s">
        <v>16</v>
      </c>
      <c r="C184" t="s">
        <v>23</v>
      </c>
      <c r="D184" t="s">
        <v>11</v>
      </c>
      <c r="E184">
        <v>145</v>
      </c>
      <c r="F184">
        <v>2019</v>
      </c>
      <c r="G184" t="s">
        <v>18</v>
      </c>
      <c r="H184" s="10">
        <v>42020</v>
      </c>
      <c r="I184">
        <v>0</v>
      </c>
    </row>
    <row r="185" spans="1:9">
      <c r="A185">
        <v>160</v>
      </c>
      <c r="B185" t="s">
        <v>16</v>
      </c>
      <c r="C185" t="s">
        <v>19</v>
      </c>
      <c r="D185" t="s">
        <v>11</v>
      </c>
      <c r="E185">
        <v>145</v>
      </c>
      <c r="F185">
        <v>2019</v>
      </c>
      <c r="G185" t="s">
        <v>22</v>
      </c>
      <c r="H185" s="10">
        <v>36601.4</v>
      </c>
      <c r="I185">
        <v>0</v>
      </c>
    </row>
    <row r="186" spans="1:9">
      <c r="A186">
        <v>168</v>
      </c>
      <c r="B186" t="s">
        <v>9</v>
      </c>
      <c r="C186" t="s">
        <v>19</v>
      </c>
      <c r="D186" t="s">
        <v>11</v>
      </c>
      <c r="E186">
        <v>90</v>
      </c>
      <c r="F186">
        <v>2019</v>
      </c>
      <c r="G186" t="s">
        <v>22</v>
      </c>
      <c r="H186" s="1">
        <v>113217.54</v>
      </c>
      <c r="I186">
        <v>0</v>
      </c>
    </row>
    <row r="187" spans="1:9">
      <c r="A187">
        <v>177</v>
      </c>
      <c r="B187" t="s">
        <v>16</v>
      </c>
      <c r="C187" t="s">
        <v>19</v>
      </c>
      <c r="D187" t="s">
        <v>11</v>
      </c>
      <c r="E187">
        <v>150</v>
      </c>
      <c r="F187">
        <v>2019</v>
      </c>
      <c r="G187" t="s">
        <v>18</v>
      </c>
      <c r="H187" s="1">
        <v>28757.8</v>
      </c>
      <c r="I187">
        <v>0</v>
      </c>
    </row>
    <row r="188" spans="1:9">
      <c r="A188">
        <v>195</v>
      </c>
      <c r="B188" t="s">
        <v>16</v>
      </c>
      <c r="C188" t="s">
        <v>17</v>
      </c>
      <c r="D188" t="s">
        <v>11</v>
      </c>
      <c r="E188">
        <v>185</v>
      </c>
      <c r="F188">
        <v>2019</v>
      </c>
      <c r="G188" t="s">
        <v>12</v>
      </c>
      <c r="H188" s="1">
        <v>32039.279999999999</v>
      </c>
      <c r="I188">
        <v>0</v>
      </c>
    </row>
    <row r="189" spans="1:9">
      <c r="A189">
        <v>201</v>
      </c>
      <c r="B189" t="s">
        <v>9</v>
      </c>
      <c r="C189" t="s">
        <v>23</v>
      </c>
      <c r="D189" t="s">
        <v>11</v>
      </c>
      <c r="E189">
        <v>170</v>
      </c>
      <c r="F189">
        <v>2019</v>
      </c>
      <c r="G189" t="s">
        <v>18</v>
      </c>
      <c r="H189" s="10">
        <v>90472.06</v>
      </c>
      <c r="I189">
        <v>0</v>
      </c>
    </row>
    <row r="190" spans="1:9">
      <c r="A190">
        <v>206</v>
      </c>
      <c r="B190" t="s">
        <v>16</v>
      </c>
      <c r="C190" t="s">
        <v>17</v>
      </c>
      <c r="D190" t="s">
        <v>11</v>
      </c>
      <c r="E190">
        <v>165</v>
      </c>
      <c r="F190">
        <v>2019</v>
      </c>
      <c r="G190" t="s">
        <v>14</v>
      </c>
      <c r="H190" s="10">
        <v>21913.38</v>
      </c>
      <c r="I190">
        <v>0</v>
      </c>
    </row>
    <row r="191" spans="1:9">
      <c r="A191">
        <v>207</v>
      </c>
      <c r="B191" t="s">
        <v>9</v>
      </c>
      <c r="C191" t="s">
        <v>17</v>
      </c>
      <c r="D191" t="s">
        <v>11</v>
      </c>
      <c r="E191">
        <v>180</v>
      </c>
      <c r="F191">
        <v>2019</v>
      </c>
      <c r="G191" t="s">
        <v>18</v>
      </c>
      <c r="H191" s="1">
        <v>115989.5</v>
      </c>
      <c r="I191">
        <v>0</v>
      </c>
    </row>
    <row r="192" spans="1:9">
      <c r="A192">
        <v>218</v>
      </c>
      <c r="B192" t="s">
        <v>16</v>
      </c>
      <c r="C192" t="s">
        <v>15</v>
      </c>
      <c r="D192" t="s">
        <v>13</v>
      </c>
      <c r="E192">
        <v>205</v>
      </c>
      <c r="F192">
        <v>2019</v>
      </c>
      <c r="G192" t="s">
        <v>18</v>
      </c>
      <c r="H192" s="1">
        <v>35850.6</v>
      </c>
      <c r="I192">
        <v>0</v>
      </c>
    </row>
    <row r="193" spans="1:9">
      <c r="A193">
        <v>222</v>
      </c>
      <c r="B193" t="s">
        <v>16</v>
      </c>
      <c r="C193" t="s">
        <v>23</v>
      </c>
      <c r="D193" t="s">
        <v>13</v>
      </c>
      <c r="E193">
        <v>110</v>
      </c>
      <c r="F193">
        <v>2019</v>
      </c>
      <c r="G193" t="s">
        <v>18</v>
      </c>
      <c r="H193" s="1">
        <v>41977.06</v>
      </c>
      <c r="I193">
        <v>0</v>
      </c>
    </row>
    <row r="194" spans="1:9">
      <c r="A194">
        <v>226</v>
      </c>
      <c r="B194" t="s">
        <v>9</v>
      </c>
      <c r="C194" t="s">
        <v>23</v>
      </c>
      <c r="D194" t="s">
        <v>13</v>
      </c>
      <c r="E194">
        <v>245</v>
      </c>
      <c r="F194">
        <v>2019</v>
      </c>
      <c r="G194" t="s">
        <v>12</v>
      </c>
      <c r="H194" s="10">
        <v>114874.32</v>
      </c>
      <c r="I194">
        <v>0</v>
      </c>
    </row>
    <row r="195" spans="1:9">
      <c r="A195">
        <v>234</v>
      </c>
      <c r="B195" t="s">
        <v>16</v>
      </c>
      <c r="C195" t="s">
        <v>10</v>
      </c>
      <c r="D195" t="s">
        <v>13</v>
      </c>
      <c r="E195">
        <v>90</v>
      </c>
      <c r="F195">
        <v>2019</v>
      </c>
      <c r="G195" t="s">
        <v>22</v>
      </c>
      <c r="H195" s="10">
        <v>23569.7</v>
      </c>
      <c r="I195">
        <v>0</v>
      </c>
    </row>
    <row r="196" spans="1:9">
      <c r="A196">
        <v>245</v>
      </c>
      <c r="B196" t="s">
        <v>16</v>
      </c>
      <c r="C196" t="s">
        <v>23</v>
      </c>
      <c r="D196" t="s">
        <v>13</v>
      </c>
      <c r="E196">
        <v>175</v>
      </c>
      <c r="F196">
        <v>2019</v>
      </c>
      <c r="G196" t="s">
        <v>22</v>
      </c>
      <c r="H196" s="10">
        <v>27254.880000000001</v>
      </c>
      <c r="I196">
        <v>0</v>
      </c>
    </row>
    <row r="197" spans="1:9">
      <c r="A197">
        <v>260</v>
      </c>
      <c r="B197" t="s">
        <v>9</v>
      </c>
      <c r="C197" t="s">
        <v>15</v>
      </c>
      <c r="D197" t="s">
        <v>11</v>
      </c>
      <c r="E197">
        <v>160</v>
      </c>
      <c r="F197">
        <v>2020</v>
      </c>
      <c r="G197" t="s">
        <v>14</v>
      </c>
      <c r="H197" s="10">
        <v>134225</v>
      </c>
      <c r="I197">
        <v>0</v>
      </c>
    </row>
    <row r="198" spans="1:9">
      <c r="A198">
        <v>263</v>
      </c>
      <c r="B198" t="s">
        <v>16</v>
      </c>
      <c r="C198" t="s">
        <v>17</v>
      </c>
      <c r="D198" t="s">
        <v>13</v>
      </c>
      <c r="E198">
        <v>245</v>
      </c>
      <c r="F198">
        <v>2020</v>
      </c>
      <c r="G198" t="s">
        <v>14</v>
      </c>
      <c r="H198" s="10">
        <v>37775</v>
      </c>
      <c r="I198">
        <v>0</v>
      </c>
    </row>
    <row r="199" spans="1:9">
      <c r="A199">
        <v>271</v>
      </c>
      <c r="B199" t="s">
        <v>20</v>
      </c>
      <c r="C199" t="s">
        <v>15</v>
      </c>
      <c r="D199" t="s">
        <v>11</v>
      </c>
      <c r="E199">
        <v>225</v>
      </c>
      <c r="F199">
        <v>2020</v>
      </c>
      <c r="G199" t="s">
        <v>22</v>
      </c>
      <c r="H199" s="10">
        <v>107876.25</v>
      </c>
      <c r="I199">
        <v>0</v>
      </c>
    </row>
    <row r="200" spans="1:9">
      <c r="A200">
        <v>283</v>
      </c>
      <c r="B200" t="s">
        <v>9</v>
      </c>
      <c r="C200" t="s">
        <v>15</v>
      </c>
      <c r="D200" t="s">
        <v>11</v>
      </c>
      <c r="E200">
        <v>185</v>
      </c>
      <c r="F200">
        <v>2021</v>
      </c>
      <c r="G200" t="s">
        <v>22</v>
      </c>
      <c r="H200" s="1">
        <v>122922.959999999</v>
      </c>
      <c r="I200">
        <v>0</v>
      </c>
    </row>
    <row r="201" spans="1:9">
      <c r="A201">
        <v>287</v>
      </c>
      <c r="B201" t="s">
        <v>9</v>
      </c>
      <c r="C201" t="s">
        <v>15</v>
      </c>
      <c r="D201" t="s">
        <v>11</v>
      </c>
      <c r="E201">
        <v>215</v>
      </c>
      <c r="F201">
        <v>2021</v>
      </c>
      <c r="G201" t="s">
        <v>14</v>
      </c>
      <c r="H201" s="10">
        <v>121669.2</v>
      </c>
      <c r="I201">
        <v>0</v>
      </c>
    </row>
    <row r="202" spans="1:9">
      <c r="A202">
        <v>297</v>
      </c>
      <c r="B202" t="s">
        <v>9</v>
      </c>
      <c r="C202" t="s">
        <v>15</v>
      </c>
      <c r="D202" t="s">
        <v>11</v>
      </c>
      <c r="E202">
        <v>225</v>
      </c>
      <c r="F202">
        <v>2021</v>
      </c>
      <c r="G202" t="s">
        <v>14</v>
      </c>
      <c r="H202" s="1">
        <v>117471.599999999</v>
      </c>
      <c r="I202">
        <v>0</v>
      </c>
    </row>
    <row r="203" spans="1:9">
      <c r="A203">
        <v>302</v>
      </c>
      <c r="B203" t="s">
        <v>9</v>
      </c>
      <c r="C203" t="s">
        <v>19</v>
      </c>
      <c r="D203" t="s">
        <v>11</v>
      </c>
      <c r="E203">
        <v>155</v>
      </c>
      <c r="F203">
        <v>2021</v>
      </c>
      <c r="G203" t="s">
        <v>14</v>
      </c>
      <c r="H203" s="10">
        <v>97730.4</v>
      </c>
      <c r="I203">
        <v>0</v>
      </c>
    </row>
    <row r="204" spans="1:9">
      <c r="A204">
        <v>309</v>
      </c>
      <c r="B204" t="s">
        <v>16</v>
      </c>
      <c r="C204" t="s">
        <v>23</v>
      </c>
      <c r="D204" t="s">
        <v>11</v>
      </c>
      <c r="E204">
        <v>205</v>
      </c>
      <c r="F204">
        <v>2021</v>
      </c>
      <c r="G204" t="s">
        <v>12</v>
      </c>
      <c r="H204" s="10">
        <v>41137.199999999997</v>
      </c>
      <c r="I204">
        <v>0</v>
      </c>
    </row>
    <row r="205" spans="1:9">
      <c r="A205">
        <v>358</v>
      </c>
      <c r="B205" t="s">
        <v>16</v>
      </c>
      <c r="C205" t="s">
        <v>17</v>
      </c>
      <c r="D205" t="s">
        <v>11</v>
      </c>
      <c r="E205">
        <v>220</v>
      </c>
      <c r="F205">
        <v>2021</v>
      </c>
      <c r="G205" t="s">
        <v>14</v>
      </c>
      <c r="H205" s="10">
        <v>37182</v>
      </c>
      <c r="I205">
        <v>0</v>
      </c>
    </row>
    <row r="206" spans="1:9">
      <c r="A206">
        <v>364</v>
      </c>
      <c r="B206" t="s">
        <v>20</v>
      </c>
      <c r="C206" t="s">
        <v>10</v>
      </c>
      <c r="D206" t="s">
        <v>29</v>
      </c>
      <c r="E206">
        <v>120</v>
      </c>
      <c r="F206">
        <v>2021</v>
      </c>
      <c r="G206" t="s">
        <v>18</v>
      </c>
      <c r="H206" s="10">
        <v>108694.8</v>
      </c>
      <c r="I206">
        <v>0</v>
      </c>
    </row>
    <row r="207" spans="1:9">
      <c r="A207">
        <v>365</v>
      </c>
      <c r="B207" t="s">
        <v>16</v>
      </c>
      <c r="C207" t="s">
        <v>10</v>
      </c>
      <c r="D207" t="s">
        <v>11</v>
      </c>
      <c r="E207">
        <v>155</v>
      </c>
      <c r="F207">
        <v>2021</v>
      </c>
      <c r="G207" t="s">
        <v>12</v>
      </c>
      <c r="H207" s="10">
        <v>33969.599999999999</v>
      </c>
      <c r="I207">
        <v>0</v>
      </c>
    </row>
    <row r="208" spans="1:9">
      <c r="A208">
        <v>386</v>
      </c>
      <c r="B208" t="s">
        <v>16</v>
      </c>
      <c r="C208" t="s">
        <v>19</v>
      </c>
      <c r="D208" t="s">
        <v>11</v>
      </c>
      <c r="E208">
        <v>245</v>
      </c>
      <c r="F208">
        <v>2021</v>
      </c>
      <c r="G208" t="s">
        <v>12</v>
      </c>
      <c r="H208" s="1">
        <v>32908.799999999901</v>
      </c>
      <c r="I208">
        <v>0</v>
      </c>
    </row>
    <row r="209" spans="1:9">
      <c r="A209">
        <v>390</v>
      </c>
      <c r="B209" t="s">
        <v>9</v>
      </c>
      <c r="C209" t="s">
        <v>15</v>
      </c>
      <c r="D209" t="s">
        <v>11</v>
      </c>
      <c r="E209">
        <v>205</v>
      </c>
      <c r="F209">
        <v>2021</v>
      </c>
      <c r="G209" t="s">
        <v>12</v>
      </c>
      <c r="H209" s="10">
        <v>130543.2</v>
      </c>
      <c r="I209">
        <v>0</v>
      </c>
    </row>
    <row r="210" spans="1:9">
      <c r="A210">
        <v>408</v>
      </c>
      <c r="B210" t="s">
        <v>9</v>
      </c>
      <c r="C210" t="s">
        <v>15</v>
      </c>
      <c r="D210" t="s">
        <v>11</v>
      </c>
      <c r="E210">
        <v>190</v>
      </c>
      <c r="F210">
        <v>2022</v>
      </c>
      <c r="G210" t="s">
        <v>18</v>
      </c>
      <c r="H210" s="10">
        <v>101814.48</v>
      </c>
      <c r="I210">
        <v>0</v>
      </c>
    </row>
    <row r="211" spans="1:9">
      <c r="A211">
        <v>415</v>
      </c>
      <c r="B211" t="s">
        <v>9</v>
      </c>
      <c r="C211" t="s">
        <v>17</v>
      </c>
      <c r="D211" t="s">
        <v>11</v>
      </c>
      <c r="E211">
        <v>230</v>
      </c>
      <c r="F211">
        <v>2022</v>
      </c>
      <c r="G211" t="s">
        <v>12</v>
      </c>
      <c r="H211" s="10">
        <v>103264.65</v>
      </c>
      <c r="I211">
        <v>0</v>
      </c>
    </row>
    <row r="212" spans="1:9">
      <c r="A212">
        <v>423</v>
      </c>
      <c r="B212" t="s">
        <v>9</v>
      </c>
      <c r="C212" t="s">
        <v>15</v>
      </c>
      <c r="D212" t="s">
        <v>11</v>
      </c>
      <c r="E212">
        <v>200</v>
      </c>
      <c r="F212">
        <v>2022</v>
      </c>
      <c r="G212" t="s">
        <v>22</v>
      </c>
      <c r="H212" s="1">
        <v>125300.099999999</v>
      </c>
      <c r="I212">
        <v>0</v>
      </c>
    </row>
    <row r="213" spans="1:9">
      <c r="A213">
        <v>427</v>
      </c>
      <c r="B213" t="s">
        <v>16</v>
      </c>
      <c r="C213" t="s">
        <v>23</v>
      </c>
      <c r="D213" t="s">
        <v>11</v>
      </c>
      <c r="E213">
        <v>185</v>
      </c>
      <c r="F213">
        <v>2022</v>
      </c>
      <c r="G213" t="s">
        <v>14</v>
      </c>
      <c r="H213" s="1">
        <v>29895.1499999999</v>
      </c>
      <c r="I213">
        <v>0</v>
      </c>
    </row>
    <row r="214" spans="1:9">
      <c r="A214">
        <v>448</v>
      </c>
      <c r="B214" t="s">
        <v>16</v>
      </c>
      <c r="C214" t="s">
        <v>23</v>
      </c>
      <c r="D214" t="s">
        <v>11</v>
      </c>
      <c r="E214">
        <v>140</v>
      </c>
      <c r="F214">
        <v>2022</v>
      </c>
      <c r="G214" t="s">
        <v>22</v>
      </c>
      <c r="H214" s="10">
        <v>48842.07</v>
      </c>
      <c r="I214">
        <v>0</v>
      </c>
    </row>
    <row r="215" spans="1:9">
      <c r="A215">
        <v>463</v>
      </c>
      <c r="B215" t="s">
        <v>16</v>
      </c>
      <c r="C215" t="s">
        <v>17</v>
      </c>
      <c r="D215" t="s">
        <v>11</v>
      </c>
      <c r="E215">
        <v>180</v>
      </c>
      <c r="F215">
        <v>2022</v>
      </c>
      <c r="G215" t="s">
        <v>18</v>
      </c>
      <c r="H215" s="10">
        <v>37098.75</v>
      </c>
      <c r="I215">
        <v>0</v>
      </c>
    </row>
    <row r="216" spans="1:9">
      <c r="A216">
        <v>473</v>
      </c>
      <c r="B216" t="s">
        <v>16</v>
      </c>
      <c r="C216" t="s">
        <v>17</v>
      </c>
      <c r="D216" t="s">
        <v>13</v>
      </c>
      <c r="E216">
        <v>230</v>
      </c>
      <c r="F216">
        <v>2022</v>
      </c>
      <c r="G216" t="s">
        <v>18</v>
      </c>
      <c r="H216" s="10">
        <v>32447.5</v>
      </c>
      <c r="I216">
        <v>0</v>
      </c>
    </row>
    <row r="217" spans="1:9">
      <c r="A217">
        <v>494</v>
      </c>
      <c r="B217" t="s">
        <v>16</v>
      </c>
      <c r="C217" t="s">
        <v>17</v>
      </c>
      <c r="D217" t="s">
        <v>11</v>
      </c>
      <c r="E217">
        <v>235</v>
      </c>
      <c r="F217">
        <v>2022</v>
      </c>
      <c r="G217" t="s">
        <v>22</v>
      </c>
      <c r="H217" s="10">
        <v>44408.75</v>
      </c>
      <c r="I217">
        <v>0</v>
      </c>
    </row>
    <row r="218" spans="1:9">
      <c r="A218">
        <v>495</v>
      </c>
      <c r="B218" t="s">
        <v>16</v>
      </c>
      <c r="C218" t="s">
        <v>19</v>
      </c>
      <c r="D218" t="s">
        <v>11</v>
      </c>
      <c r="E218">
        <v>125</v>
      </c>
      <c r="F218">
        <v>2022</v>
      </c>
      <c r="G218" t="s">
        <v>18</v>
      </c>
      <c r="H218" s="10">
        <v>44121.25</v>
      </c>
      <c r="I218">
        <v>0</v>
      </c>
    </row>
    <row r="219" spans="1:9">
      <c r="A219">
        <v>15</v>
      </c>
      <c r="B219" t="s">
        <v>9</v>
      </c>
      <c r="C219" t="s">
        <v>10</v>
      </c>
      <c r="D219" t="s">
        <v>13</v>
      </c>
      <c r="E219">
        <v>240</v>
      </c>
      <c r="F219">
        <v>2017</v>
      </c>
      <c r="G219" t="s">
        <v>22</v>
      </c>
      <c r="H219" s="10">
        <v>102348</v>
      </c>
      <c r="I219">
        <v>0</v>
      </c>
    </row>
    <row r="220" spans="1:9">
      <c r="A220">
        <v>26</v>
      </c>
      <c r="B220" t="s">
        <v>9</v>
      </c>
      <c r="C220" t="s">
        <v>17</v>
      </c>
      <c r="D220" t="s">
        <v>11</v>
      </c>
      <c r="E220">
        <v>190</v>
      </c>
      <c r="F220">
        <v>2017</v>
      </c>
      <c r="G220" t="s">
        <v>12</v>
      </c>
      <c r="H220" s="10">
        <v>105910</v>
      </c>
      <c r="I220">
        <v>0</v>
      </c>
    </row>
    <row r="221" spans="1:9">
      <c r="A221">
        <v>48</v>
      </c>
      <c r="B221" t="s">
        <v>9</v>
      </c>
      <c r="C221" t="s">
        <v>19</v>
      </c>
      <c r="D221" t="s">
        <v>13</v>
      </c>
      <c r="E221">
        <v>120</v>
      </c>
      <c r="F221">
        <v>2018</v>
      </c>
      <c r="G221" t="s">
        <v>14</v>
      </c>
      <c r="H221" s="10">
        <v>95682.3</v>
      </c>
      <c r="I221">
        <v>0</v>
      </c>
    </row>
    <row r="222" spans="1:9">
      <c r="A222">
        <v>52</v>
      </c>
      <c r="B222" t="s">
        <v>9</v>
      </c>
      <c r="C222" t="s">
        <v>15</v>
      </c>
      <c r="D222" t="s">
        <v>11</v>
      </c>
      <c r="E222">
        <v>150</v>
      </c>
      <c r="F222">
        <v>2018</v>
      </c>
      <c r="G222" t="s">
        <v>14</v>
      </c>
      <c r="H222" s="10">
        <v>105608.88</v>
      </c>
      <c r="I222">
        <v>0</v>
      </c>
    </row>
    <row r="223" spans="1:9">
      <c r="A223">
        <v>61</v>
      </c>
      <c r="B223" t="s">
        <v>16</v>
      </c>
      <c r="C223" t="s">
        <v>10</v>
      </c>
      <c r="D223" t="s">
        <v>11</v>
      </c>
      <c r="E223">
        <v>225</v>
      </c>
      <c r="F223">
        <v>2018</v>
      </c>
      <c r="G223" t="s">
        <v>18</v>
      </c>
      <c r="H223" s="10">
        <v>21848.400000000001</v>
      </c>
      <c r="I223">
        <v>0</v>
      </c>
    </row>
    <row r="224" spans="1:9">
      <c r="A224">
        <v>78</v>
      </c>
      <c r="B224" t="s">
        <v>9</v>
      </c>
      <c r="C224" t="s">
        <v>15</v>
      </c>
      <c r="D224" t="s">
        <v>13</v>
      </c>
      <c r="E224">
        <v>140</v>
      </c>
      <c r="F224">
        <v>2018</v>
      </c>
      <c r="G224" t="s">
        <v>12</v>
      </c>
      <c r="H224" s="10">
        <v>99832.95</v>
      </c>
      <c r="I224">
        <v>0</v>
      </c>
    </row>
    <row r="225" spans="1:9">
      <c r="A225">
        <v>85</v>
      </c>
      <c r="B225" t="s">
        <v>16</v>
      </c>
      <c r="C225" t="s">
        <v>23</v>
      </c>
      <c r="D225" t="s">
        <v>11</v>
      </c>
      <c r="E225">
        <v>155</v>
      </c>
      <c r="F225">
        <v>2018</v>
      </c>
      <c r="G225" t="s">
        <v>22</v>
      </c>
      <c r="H225" s="1">
        <v>36601.949999999997</v>
      </c>
      <c r="I225">
        <v>0</v>
      </c>
    </row>
    <row r="226" spans="1:9">
      <c r="A226">
        <v>89</v>
      </c>
      <c r="B226" t="s">
        <v>16</v>
      </c>
      <c r="C226" t="s">
        <v>19</v>
      </c>
      <c r="D226" t="s">
        <v>13</v>
      </c>
      <c r="E226">
        <v>95</v>
      </c>
      <c r="F226">
        <v>2018</v>
      </c>
      <c r="G226" t="s">
        <v>12</v>
      </c>
      <c r="H226" s="10">
        <v>38249.4</v>
      </c>
      <c r="I226">
        <v>0</v>
      </c>
    </row>
    <row r="227" spans="1:9">
      <c r="A227">
        <v>105</v>
      </c>
      <c r="B227" t="s">
        <v>16</v>
      </c>
      <c r="C227" t="s">
        <v>17</v>
      </c>
      <c r="D227" t="s">
        <v>11</v>
      </c>
      <c r="E227">
        <v>160</v>
      </c>
      <c r="F227">
        <v>2018</v>
      </c>
      <c r="G227" t="s">
        <v>18</v>
      </c>
      <c r="H227" s="10">
        <v>33072.9</v>
      </c>
      <c r="I227">
        <v>0</v>
      </c>
    </row>
    <row r="228" spans="1:9">
      <c r="A228">
        <v>122</v>
      </c>
      <c r="B228" t="s">
        <v>9</v>
      </c>
      <c r="C228" t="s">
        <v>15</v>
      </c>
      <c r="D228" t="s">
        <v>13</v>
      </c>
      <c r="E228">
        <v>185</v>
      </c>
      <c r="F228">
        <v>2019</v>
      </c>
      <c r="G228" t="s">
        <v>22</v>
      </c>
      <c r="H228" s="1">
        <v>102498</v>
      </c>
      <c r="I228">
        <v>0</v>
      </c>
    </row>
    <row r="229" spans="1:9">
      <c r="A229">
        <v>123</v>
      </c>
      <c r="B229" t="s">
        <v>16</v>
      </c>
      <c r="C229" t="s">
        <v>23</v>
      </c>
      <c r="D229" t="s">
        <v>13</v>
      </c>
      <c r="E229">
        <v>160</v>
      </c>
      <c r="F229">
        <v>2019</v>
      </c>
      <c r="G229" t="s">
        <v>14</v>
      </c>
      <c r="H229" s="1">
        <v>35134.559999999998</v>
      </c>
      <c r="I229">
        <v>0</v>
      </c>
    </row>
    <row r="230" spans="1:9">
      <c r="A230">
        <v>131</v>
      </c>
      <c r="B230" t="s">
        <v>9</v>
      </c>
      <c r="C230" t="s">
        <v>23</v>
      </c>
      <c r="D230" t="s">
        <v>13</v>
      </c>
      <c r="E230">
        <v>135</v>
      </c>
      <c r="F230">
        <v>2019</v>
      </c>
      <c r="G230" t="s">
        <v>18</v>
      </c>
      <c r="H230" s="10">
        <v>116247.96</v>
      </c>
      <c r="I230">
        <v>0</v>
      </c>
    </row>
    <row r="231" spans="1:9">
      <c r="A231">
        <v>133</v>
      </c>
      <c r="B231" t="s">
        <v>20</v>
      </c>
      <c r="C231" t="s">
        <v>19</v>
      </c>
      <c r="D231" t="s">
        <v>11</v>
      </c>
      <c r="E231">
        <v>215</v>
      </c>
      <c r="F231">
        <v>2019</v>
      </c>
      <c r="G231" t="s">
        <v>12</v>
      </c>
      <c r="H231" s="10">
        <v>107933.44</v>
      </c>
      <c r="I231">
        <v>0</v>
      </c>
    </row>
    <row r="232" spans="1:9">
      <c r="A232">
        <v>137</v>
      </c>
      <c r="B232" t="s">
        <v>9</v>
      </c>
      <c r="C232" t="s">
        <v>19</v>
      </c>
      <c r="D232" t="s">
        <v>11</v>
      </c>
      <c r="E232">
        <v>170</v>
      </c>
      <c r="F232">
        <v>2019</v>
      </c>
      <c r="G232" t="s">
        <v>12</v>
      </c>
      <c r="H232" s="10">
        <v>91494.36</v>
      </c>
      <c r="I232">
        <v>0</v>
      </c>
    </row>
    <row r="233" spans="1:9">
      <c r="A233">
        <v>138</v>
      </c>
      <c r="B233" t="s">
        <v>9</v>
      </c>
      <c r="C233" t="s">
        <v>23</v>
      </c>
      <c r="D233" t="s">
        <v>13</v>
      </c>
      <c r="E233">
        <v>115</v>
      </c>
      <c r="F233">
        <v>2019</v>
      </c>
      <c r="G233" t="s">
        <v>14</v>
      </c>
      <c r="H233" s="10">
        <v>92045.16</v>
      </c>
      <c r="I233">
        <v>0</v>
      </c>
    </row>
    <row r="234" spans="1:9">
      <c r="A234">
        <v>145</v>
      </c>
      <c r="B234" t="s">
        <v>16</v>
      </c>
      <c r="C234" t="s">
        <v>15</v>
      </c>
      <c r="D234" t="s">
        <v>11</v>
      </c>
      <c r="E234">
        <v>210</v>
      </c>
      <c r="F234">
        <v>2019</v>
      </c>
      <c r="G234" t="s">
        <v>12</v>
      </c>
      <c r="H234" s="10">
        <v>28924.22</v>
      </c>
      <c r="I234">
        <v>0</v>
      </c>
    </row>
    <row r="235" spans="1:9">
      <c r="A235">
        <v>161</v>
      </c>
      <c r="B235" t="s">
        <v>16</v>
      </c>
      <c r="C235" t="s">
        <v>10</v>
      </c>
      <c r="D235" t="s">
        <v>11</v>
      </c>
      <c r="E235">
        <v>160</v>
      </c>
      <c r="F235">
        <v>2019</v>
      </c>
      <c r="G235" t="s">
        <v>22</v>
      </c>
      <c r="H235" s="10">
        <v>37293.300000000003</v>
      </c>
      <c r="I235">
        <v>0</v>
      </c>
    </row>
    <row r="236" spans="1:9">
      <c r="A236">
        <v>164</v>
      </c>
      <c r="B236" t="s">
        <v>9</v>
      </c>
      <c r="C236" t="s">
        <v>19</v>
      </c>
      <c r="D236" t="s">
        <v>13</v>
      </c>
      <c r="E236">
        <v>185</v>
      </c>
      <c r="F236">
        <v>2019</v>
      </c>
      <c r="G236" t="s">
        <v>22</v>
      </c>
      <c r="H236" s="10">
        <v>94298.66</v>
      </c>
      <c r="I236">
        <v>0</v>
      </c>
    </row>
    <row r="237" spans="1:9">
      <c r="A237">
        <v>165</v>
      </c>
      <c r="B237" t="s">
        <v>9</v>
      </c>
      <c r="C237" t="s">
        <v>15</v>
      </c>
      <c r="D237" t="s">
        <v>11</v>
      </c>
      <c r="E237">
        <v>160</v>
      </c>
      <c r="F237">
        <v>2019</v>
      </c>
      <c r="G237" t="s">
        <v>22</v>
      </c>
      <c r="H237" s="10">
        <v>112656.96000000001</v>
      </c>
      <c r="I237">
        <v>0</v>
      </c>
    </row>
    <row r="238" spans="1:9">
      <c r="A238">
        <v>167</v>
      </c>
      <c r="B238" t="s">
        <v>9</v>
      </c>
      <c r="C238" t="s">
        <v>17</v>
      </c>
      <c r="D238" t="s">
        <v>11</v>
      </c>
      <c r="E238">
        <v>90</v>
      </c>
      <c r="F238">
        <v>2019</v>
      </c>
      <c r="G238" t="s">
        <v>22</v>
      </c>
      <c r="H238" s="10">
        <v>95994.72</v>
      </c>
      <c r="I238">
        <v>0</v>
      </c>
    </row>
    <row r="239" spans="1:9">
      <c r="A239">
        <v>203</v>
      </c>
      <c r="B239" t="s">
        <v>16</v>
      </c>
      <c r="C239" t="s">
        <v>19</v>
      </c>
      <c r="D239" t="s">
        <v>13</v>
      </c>
      <c r="E239">
        <v>140</v>
      </c>
      <c r="F239">
        <v>2019</v>
      </c>
      <c r="G239" t="s">
        <v>12</v>
      </c>
      <c r="H239" s="10">
        <v>35824.68</v>
      </c>
      <c r="I239">
        <v>0</v>
      </c>
    </row>
    <row r="240" spans="1:9">
      <c r="A240">
        <v>212</v>
      </c>
      <c r="B240" t="s">
        <v>9</v>
      </c>
      <c r="C240" t="s">
        <v>23</v>
      </c>
      <c r="D240" t="s">
        <v>11</v>
      </c>
      <c r="E240">
        <v>215</v>
      </c>
      <c r="F240">
        <v>2019</v>
      </c>
      <c r="G240" t="s">
        <v>12</v>
      </c>
      <c r="H240" s="1">
        <v>90944.7</v>
      </c>
      <c r="I240">
        <v>0</v>
      </c>
    </row>
    <row r="241" spans="1:9">
      <c r="A241">
        <v>214</v>
      </c>
      <c r="B241" t="s">
        <v>16</v>
      </c>
      <c r="C241" t="s">
        <v>23</v>
      </c>
      <c r="D241" t="s">
        <v>13</v>
      </c>
      <c r="E241">
        <v>115</v>
      </c>
      <c r="F241">
        <v>2019</v>
      </c>
      <c r="G241" t="s">
        <v>22</v>
      </c>
      <c r="H241" s="10">
        <v>23819.4</v>
      </c>
      <c r="I241">
        <v>0</v>
      </c>
    </row>
    <row r="242" spans="1:9">
      <c r="A242">
        <v>225</v>
      </c>
      <c r="B242" t="s">
        <v>20</v>
      </c>
      <c r="C242" t="s">
        <v>17</v>
      </c>
      <c r="D242" t="s">
        <v>13</v>
      </c>
      <c r="E242">
        <v>220</v>
      </c>
      <c r="F242">
        <v>2019</v>
      </c>
      <c r="G242" t="s">
        <v>12</v>
      </c>
      <c r="H242" s="10">
        <v>105150.96</v>
      </c>
      <c r="I242">
        <v>0</v>
      </c>
    </row>
    <row r="243" spans="1:9">
      <c r="A243">
        <v>233</v>
      </c>
      <c r="B243" t="s">
        <v>20</v>
      </c>
      <c r="C243" t="s">
        <v>23</v>
      </c>
      <c r="D243" t="s">
        <v>11</v>
      </c>
      <c r="E243">
        <v>210</v>
      </c>
      <c r="F243">
        <v>2019</v>
      </c>
      <c r="G243" t="s">
        <v>12</v>
      </c>
      <c r="H243" s="1">
        <v>101233.18</v>
      </c>
      <c r="I243">
        <v>0</v>
      </c>
    </row>
    <row r="244" spans="1:9">
      <c r="A244">
        <v>261</v>
      </c>
      <c r="B244" t="s">
        <v>16</v>
      </c>
      <c r="C244" t="s">
        <v>10</v>
      </c>
      <c r="D244" t="s">
        <v>11</v>
      </c>
      <c r="E244">
        <v>115</v>
      </c>
      <c r="F244">
        <v>2020</v>
      </c>
      <c r="G244" t="s">
        <v>18</v>
      </c>
      <c r="H244" s="10">
        <v>35066.25</v>
      </c>
      <c r="I244">
        <v>0</v>
      </c>
    </row>
    <row r="245" spans="1:9">
      <c r="A245">
        <v>278</v>
      </c>
      <c r="B245" t="s">
        <v>16</v>
      </c>
      <c r="C245" t="s">
        <v>15</v>
      </c>
      <c r="D245" t="s">
        <v>11</v>
      </c>
      <c r="E245">
        <v>185</v>
      </c>
      <c r="F245">
        <v>2021</v>
      </c>
      <c r="G245" t="s">
        <v>18</v>
      </c>
      <c r="H245" s="10">
        <v>23819.48</v>
      </c>
      <c r="I245">
        <v>0</v>
      </c>
    </row>
    <row r="246" spans="1:9">
      <c r="A246">
        <v>284</v>
      </c>
      <c r="B246" t="s">
        <v>9</v>
      </c>
      <c r="C246" t="s">
        <v>19</v>
      </c>
      <c r="D246" t="s">
        <v>11</v>
      </c>
      <c r="E246">
        <v>220</v>
      </c>
      <c r="F246">
        <v>2021</v>
      </c>
      <c r="G246" t="s">
        <v>14</v>
      </c>
      <c r="H246" s="1">
        <v>104505.519999999</v>
      </c>
      <c r="I246">
        <v>0</v>
      </c>
    </row>
    <row r="247" spans="1:9">
      <c r="A247">
        <v>285</v>
      </c>
      <c r="B247" t="s">
        <v>16</v>
      </c>
      <c r="C247" t="s">
        <v>19</v>
      </c>
      <c r="D247" t="s">
        <v>11</v>
      </c>
      <c r="E247">
        <v>215</v>
      </c>
      <c r="F247">
        <v>2021</v>
      </c>
      <c r="G247" t="s">
        <v>18</v>
      </c>
      <c r="H247" s="1">
        <v>30799.179999999898</v>
      </c>
      <c r="I247">
        <v>0</v>
      </c>
    </row>
    <row r="248" spans="1:9">
      <c r="A248">
        <v>289</v>
      </c>
      <c r="B248" t="s">
        <v>16</v>
      </c>
      <c r="C248" t="s">
        <v>17</v>
      </c>
      <c r="D248" t="s">
        <v>13</v>
      </c>
      <c r="E248">
        <v>175</v>
      </c>
      <c r="F248">
        <v>2021</v>
      </c>
      <c r="G248" t="s">
        <v>12</v>
      </c>
      <c r="H248" s="10">
        <v>41454</v>
      </c>
      <c r="I248">
        <v>0</v>
      </c>
    </row>
    <row r="249" spans="1:9">
      <c r="A249">
        <v>296</v>
      </c>
      <c r="B249" t="s">
        <v>9</v>
      </c>
      <c r="C249" t="s">
        <v>15</v>
      </c>
      <c r="D249" t="s">
        <v>11</v>
      </c>
      <c r="E249">
        <v>205</v>
      </c>
      <c r="F249">
        <v>2021</v>
      </c>
      <c r="G249" t="s">
        <v>12</v>
      </c>
      <c r="H249" s="10">
        <v>106387.2</v>
      </c>
      <c r="I249">
        <v>0</v>
      </c>
    </row>
    <row r="250" spans="1:9">
      <c r="A250">
        <v>298</v>
      </c>
      <c r="B250" t="s">
        <v>9</v>
      </c>
      <c r="C250" t="s">
        <v>17</v>
      </c>
      <c r="D250" t="s">
        <v>13</v>
      </c>
      <c r="E250">
        <v>155</v>
      </c>
      <c r="F250">
        <v>2021</v>
      </c>
      <c r="G250" t="s">
        <v>18</v>
      </c>
      <c r="H250" s="1">
        <v>111411.599999999</v>
      </c>
      <c r="I250">
        <v>0</v>
      </c>
    </row>
    <row r="251" spans="1:9">
      <c r="A251">
        <v>303</v>
      </c>
      <c r="B251" t="s">
        <v>9</v>
      </c>
      <c r="C251" t="s">
        <v>10</v>
      </c>
      <c r="D251" t="s">
        <v>13</v>
      </c>
      <c r="E251">
        <v>190</v>
      </c>
      <c r="F251">
        <v>2021</v>
      </c>
      <c r="G251" t="s">
        <v>18</v>
      </c>
      <c r="H251" s="10">
        <v>96496.8</v>
      </c>
      <c r="I251">
        <v>0</v>
      </c>
    </row>
    <row r="252" spans="1:9">
      <c r="A252">
        <v>314</v>
      </c>
      <c r="B252" t="s">
        <v>16</v>
      </c>
      <c r="C252" t="s">
        <v>10</v>
      </c>
      <c r="D252" t="s">
        <v>11</v>
      </c>
      <c r="E252">
        <v>165</v>
      </c>
      <c r="F252">
        <v>2021</v>
      </c>
      <c r="G252" t="s">
        <v>14</v>
      </c>
      <c r="H252" s="1">
        <v>30674.3999999999</v>
      </c>
      <c r="I252">
        <v>0</v>
      </c>
    </row>
    <row r="253" spans="1:9">
      <c r="A253">
        <v>325</v>
      </c>
      <c r="B253" t="s">
        <v>9</v>
      </c>
      <c r="C253" t="s">
        <v>19</v>
      </c>
      <c r="D253" t="s">
        <v>11</v>
      </c>
      <c r="E253">
        <v>190</v>
      </c>
      <c r="F253">
        <v>2021</v>
      </c>
      <c r="G253" t="s">
        <v>22</v>
      </c>
      <c r="H253" s="10">
        <v>97430.399999999994</v>
      </c>
      <c r="I253">
        <v>0</v>
      </c>
    </row>
    <row r="254" spans="1:9">
      <c r="A254">
        <v>330</v>
      </c>
      <c r="B254" t="s">
        <v>9</v>
      </c>
      <c r="C254" t="s">
        <v>15</v>
      </c>
      <c r="D254" t="s">
        <v>11</v>
      </c>
      <c r="E254">
        <v>125</v>
      </c>
      <c r="F254">
        <v>2021</v>
      </c>
      <c r="G254" t="s">
        <v>22</v>
      </c>
      <c r="H254" s="10">
        <v>131312.4</v>
      </c>
      <c r="I254">
        <v>0</v>
      </c>
    </row>
    <row r="255" spans="1:9">
      <c r="A255">
        <v>339</v>
      </c>
      <c r="B255" t="s">
        <v>9</v>
      </c>
      <c r="C255" t="s">
        <v>15</v>
      </c>
      <c r="D255" t="s">
        <v>11</v>
      </c>
      <c r="E255">
        <v>195</v>
      </c>
      <c r="F255">
        <v>2021</v>
      </c>
      <c r="G255" t="s">
        <v>14</v>
      </c>
      <c r="H255" s="10">
        <v>111172.8</v>
      </c>
      <c r="I255">
        <v>0</v>
      </c>
    </row>
    <row r="256" spans="1:9">
      <c r="A256">
        <v>342</v>
      </c>
      <c r="B256" t="s">
        <v>16</v>
      </c>
      <c r="C256" t="s">
        <v>17</v>
      </c>
      <c r="D256" t="s">
        <v>11</v>
      </c>
      <c r="E256">
        <v>190</v>
      </c>
      <c r="F256">
        <v>2021</v>
      </c>
      <c r="G256" t="s">
        <v>22</v>
      </c>
      <c r="H256" s="10">
        <v>27154.799999999999</v>
      </c>
      <c r="I256">
        <v>0</v>
      </c>
    </row>
    <row r="257" spans="1:9">
      <c r="A257">
        <v>351</v>
      </c>
      <c r="B257" t="s">
        <v>9</v>
      </c>
      <c r="C257" t="s">
        <v>10</v>
      </c>
      <c r="D257" t="s">
        <v>13</v>
      </c>
      <c r="E257">
        <v>230</v>
      </c>
      <c r="F257">
        <v>2021</v>
      </c>
      <c r="G257" t="s">
        <v>22</v>
      </c>
      <c r="H257" s="1">
        <v>126897.599999999</v>
      </c>
      <c r="I257">
        <v>0</v>
      </c>
    </row>
    <row r="258" spans="1:9">
      <c r="A258">
        <v>374</v>
      </c>
      <c r="B258" t="s">
        <v>16</v>
      </c>
      <c r="C258" t="s">
        <v>17</v>
      </c>
      <c r="D258" t="s">
        <v>13</v>
      </c>
      <c r="E258">
        <v>175</v>
      </c>
      <c r="F258">
        <v>2021</v>
      </c>
      <c r="G258" t="s">
        <v>22</v>
      </c>
      <c r="H258" s="1">
        <v>35860.799999999901</v>
      </c>
      <c r="I258">
        <v>0</v>
      </c>
    </row>
    <row r="259" spans="1:9">
      <c r="A259">
        <v>385</v>
      </c>
      <c r="B259" t="s">
        <v>9</v>
      </c>
      <c r="C259" t="s">
        <v>10</v>
      </c>
      <c r="D259" t="s">
        <v>11</v>
      </c>
      <c r="E259">
        <v>100</v>
      </c>
      <c r="F259">
        <v>2021</v>
      </c>
      <c r="G259" t="s">
        <v>14</v>
      </c>
      <c r="H259" s="10">
        <v>111139.2</v>
      </c>
      <c r="I259">
        <v>0</v>
      </c>
    </row>
    <row r="260" spans="1:9">
      <c r="A260">
        <v>396</v>
      </c>
      <c r="B260" t="s">
        <v>16</v>
      </c>
      <c r="C260" t="s">
        <v>23</v>
      </c>
      <c r="D260" t="s">
        <v>13</v>
      </c>
      <c r="E260">
        <v>185</v>
      </c>
      <c r="F260">
        <v>2021</v>
      </c>
      <c r="G260" t="s">
        <v>14</v>
      </c>
      <c r="H260" s="1">
        <v>27524.3999999999</v>
      </c>
      <c r="I260">
        <v>0</v>
      </c>
    </row>
    <row r="261" spans="1:9">
      <c r="A261">
        <v>407</v>
      </c>
      <c r="B261" t="s">
        <v>9</v>
      </c>
      <c r="C261" t="s">
        <v>19</v>
      </c>
      <c r="D261" t="s">
        <v>11</v>
      </c>
      <c r="E261">
        <v>235</v>
      </c>
      <c r="F261">
        <v>2022</v>
      </c>
      <c r="G261" t="s">
        <v>12</v>
      </c>
      <c r="H261" s="10">
        <v>119570.76</v>
      </c>
      <c r="I261">
        <v>0</v>
      </c>
    </row>
    <row r="262" spans="1:9">
      <c r="A262">
        <v>420</v>
      </c>
      <c r="B262" t="s">
        <v>16</v>
      </c>
      <c r="C262" t="s">
        <v>23</v>
      </c>
      <c r="D262" t="s">
        <v>13</v>
      </c>
      <c r="E262">
        <v>180</v>
      </c>
      <c r="F262">
        <v>2022</v>
      </c>
      <c r="G262" t="s">
        <v>14</v>
      </c>
      <c r="H262" s="10">
        <v>37131.24</v>
      </c>
      <c r="I262">
        <v>0</v>
      </c>
    </row>
    <row r="263" spans="1:9">
      <c r="A263">
        <v>442</v>
      </c>
      <c r="B263" t="s">
        <v>16</v>
      </c>
      <c r="C263" t="s">
        <v>10</v>
      </c>
      <c r="D263" t="s">
        <v>11</v>
      </c>
      <c r="E263">
        <v>225</v>
      </c>
      <c r="F263">
        <v>2022</v>
      </c>
      <c r="G263" t="s">
        <v>22</v>
      </c>
      <c r="H263" s="10">
        <v>38244.39</v>
      </c>
      <c r="I263">
        <v>0</v>
      </c>
    </row>
    <row r="264" spans="1:9">
      <c r="A264">
        <v>465</v>
      </c>
      <c r="B264" t="s">
        <v>16</v>
      </c>
      <c r="C264" t="s">
        <v>19</v>
      </c>
      <c r="D264" t="s">
        <v>11</v>
      </c>
      <c r="E264">
        <v>150</v>
      </c>
      <c r="F264">
        <v>2022</v>
      </c>
      <c r="G264" t="s">
        <v>14</v>
      </c>
      <c r="H264" s="10">
        <v>26068.75</v>
      </c>
      <c r="I264">
        <v>0</v>
      </c>
    </row>
    <row r="265" spans="1:9">
      <c r="A265">
        <v>470</v>
      </c>
      <c r="B265" t="s">
        <v>16</v>
      </c>
      <c r="C265" t="s">
        <v>15</v>
      </c>
      <c r="D265" t="s">
        <v>13</v>
      </c>
      <c r="E265">
        <v>170</v>
      </c>
      <c r="F265">
        <v>2022</v>
      </c>
      <c r="G265" t="s">
        <v>12</v>
      </c>
      <c r="H265" s="10">
        <v>49023.75</v>
      </c>
      <c r="I265">
        <v>0</v>
      </c>
    </row>
    <row r="266" spans="1:9">
      <c r="A266">
        <v>486</v>
      </c>
      <c r="B266" t="s">
        <v>20</v>
      </c>
      <c r="C266" t="s">
        <v>23</v>
      </c>
      <c r="D266" t="s">
        <v>13</v>
      </c>
      <c r="E266">
        <v>205</v>
      </c>
      <c r="F266">
        <v>2022</v>
      </c>
      <c r="G266" t="s">
        <v>22</v>
      </c>
      <c r="H266" s="10">
        <v>113963.75</v>
      </c>
      <c r="I266">
        <v>0</v>
      </c>
    </row>
    <row r="267" spans="1:9">
      <c r="A267">
        <v>489</v>
      </c>
      <c r="B267" t="s">
        <v>9</v>
      </c>
      <c r="C267" t="s">
        <v>17</v>
      </c>
      <c r="D267" t="s">
        <v>13</v>
      </c>
      <c r="E267">
        <v>160</v>
      </c>
      <c r="F267">
        <v>2022</v>
      </c>
      <c r="G267" t="s">
        <v>22</v>
      </c>
      <c r="H267" s="10">
        <v>113731.25</v>
      </c>
      <c r="I267">
        <v>0</v>
      </c>
    </row>
    <row r="268" spans="1:9">
      <c r="A268">
        <v>4</v>
      </c>
      <c r="B268" t="s">
        <v>20</v>
      </c>
      <c r="C268" t="s">
        <v>15</v>
      </c>
      <c r="D268" t="s">
        <v>11</v>
      </c>
      <c r="E268">
        <v>200</v>
      </c>
      <c r="F268">
        <v>2017</v>
      </c>
      <c r="G268" t="s">
        <v>22</v>
      </c>
      <c r="H268" s="10">
        <v>105980</v>
      </c>
      <c r="I268">
        <v>0</v>
      </c>
    </row>
    <row r="269" spans="1:9">
      <c r="A269">
        <v>37</v>
      </c>
      <c r="B269" t="s">
        <v>9</v>
      </c>
      <c r="C269" t="s">
        <v>17</v>
      </c>
      <c r="D269" t="s">
        <v>13</v>
      </c>
      <c r="E269">
        <v>130</v>
      </c>
      <c r="F269">
        <v>2017</v>
      </c>
      <c r="G269" t="s">
        <v>22</v>
      </c>
      <c r="H269" s="10">
        <v>82096</v>
      </c>
      <c r="I269">
        <v>0</v>
      </c>
    </row>
    <row r="270" spans="1:9">
      <c r="A270">
        <v>43</v>
      </c>
      <c r="B270" t="s">
        <v>20</v>
      </c>
      <c r="C270" t="s">
        <v>23</v>
      </c>
      <c r="D270" t="s">
        <v>13</v>
      </c>
      <c r="E270">
        <v>160</v>
      </c>
      <c r="F270">
        <v>2018</v>
      </c>
      <c r="G270" t="s">
        <v>22</v>
      </c>
      <c r="H270" s="10">
        <v>108223.5</v>
      </c>
      <c r="I270">
        <v>0</v>
      </c>
    </row>
    <row r="271" spans="1:9">
      <c r="A271">
        <v>45</v>
      </c>
      <c r="B271" t="s">
        <v>16</v>
      </c>
      <c r="C271" t="s">
        <v>19</v>
      </c>
      <c r="D271" t="s">
        <v>13</v>
      </c>
      <c r="E271">
        <v>190</v>
      </c>
      <c r="F271">
        <v>2018</v>
      </c>
      <c r="G271" t="s">
        <v>14</v>
      </c>
      <c r="H271" s="10">
        <v>22866</v>
      </c>
      <c r="I271">
        <v>0</v>
      </c>
    </row>
    <row r="272" spans="1:9">
      <c r="A272">
        <v>64</v>
      </c>
      <c r="B272" t="s">
        <v>9</v>
      </c>
      <c r="C272" t="s">
        <v>10</v>
      </c>
      <c r="D272" t="s">
        <v>11</v>
      </c>
      <c r="E272">
        <v>125</v>
      </c>
      <c r="F272">
        <v>2018</v>
      </c>
      <c r="G272" t="s">
        <v>22</v>
      </c>
      <c r="H272" s="10">
        <v>85485.92</v>
      </c>
      <c r="I272">
        <v>0</v>
      </c>
    </row>
    <row r="273" spans="1:9">
      <c r="A273">
        <v>79</v>
      </c>
      <c r="B273" t="s">
        <v>9</v>
      </c>
      <c r="C273" t="s">
        <v>23</v>
      </c>
      <c r="D273" t="s">
        <v>13</v>
      </c>
      <c r="E273">
        <v>200</v>
      </c>
      <c r="F273">
        <v>2018</v>
      </c>
      <c r="G273" t="s">
        <v>22</v>
      </c>
      <c r="H273" s="1">
        <v>110904.15</v>
      </c>
      <c r="I273">
        <v>0</v>
      </c>
    </row>
    <row r="274" spans="1:9">
      <c r="A274">
        <v>84</v>
      </c>
      <c r="B274" t="s">
        <v>9</v>
      </c>
      <c r="C274" t="s">
        <v>15</v>
      </c>
      <c r="D274" t="s">
        <v>13</v>
      </c>
      <c r="E274">
        <v>170</v>
      </c>
      <c r="F274">
        <v>2018</v>
      </c>
      <c r="G274" t="s">
        <v>22</v>
      </c>
      <c r="H274" s="10">
        <v>88603.839999999997</v>
      </c>
      <c r="I274">
        <v>0</v>
      </c>
    </row>
    <row r="275" spans="1:9">
      <c r="A275">
        <v>93</v>
      </c>
      <c r="B275" t="s">
        <v>9</v>
      </c>
      <c r="C275" t="s">
        <v>17</v>
      </c>
      <c r="D275" t="s">
        <v>13</v>
      </c>
      <c r="E275">
        <v>225</v>
      </c>
      <c r="F275">
        <v>2018</v>
      </c>
      <c r="G275" t="s">
        <v>14</v>
      </c>
      <c r="H275" s="10">
        <v>109950.88</v>
      </c>
      <c r="I275">
        <v>0</v>
      </c>
    </row>
    <row r="276" spans="1:9">
      <c r="A276">
        <v>95</v>
      </c>
      <c r="B276" t="s">
        <v>16</v>
      </c>
      <c r="C276" t="s">
        <v>17</v>
      </c>
      <c r="D276" t="s">
        <v>24</v>
      </c>
      <c r="E276">
        <v>175</v>
      </c>
      <c r="F276">
        <v>2018</v>
      </c>
      <c r="G276" t="s">
        <v>22</v>
      </c>
      <c r="H276" s="1">
        <v>31161.62</v>
      </c>
      <c r="I276">
        <v>0</v>
      </c>
    </row>
    <row r="277" spans="1:9">
      <c r="A277">
        <v>97</v>
      </c>
      <c r="B277" t="s">
        <v>16</v>
      </c>
      <c r="C277" t="s">
        <v>10</v>
      </c>
      <c r="D277" t="s">
        <v>11</v>
      </c>
      <c r="E277">
        <v>205</v>
      </c>
      <c r="F277">
        <v>2018</v>
      </c>
      <c r="G277" t="s">
        <v>18</v>
      </c>
      <c r="H277" s="1">
        <v>37352.699999999997</v>
      </c>
      <c r="I277">
        <v>0</v>
      </c>
    </row>
    <row r="278" spans="1:9">
      <c r="A278">
        <v>116</v>
      </c>
      <c r="B278" t="s">
        <v>9</v>
      </c>
      <c r="C278" t="s">
        <v>15</v>
      </c>
      <c r="D278" t="s">
        <v>11</v>
      </c>
      <c r="E278">
        <v>160</v>
      </c>
      <c r="F278">
        <v>2018</v>
      </c>
      <c r="G278" t="s">
        <v>14</v>
      </c>
      <c r="H278" s="10">
        <v>89028.160000000003</v>
      </c>
      <c r="I278">
        <v>0</v>
      </c>
    </row>
    <row r="279" spans="1:9">
      <c r="A279">
        <v>124</v>
      </c>
      <c r="B279" t="s">
        <v>9</v>
      </c>
      <c r="C279" t="s">
        <v>23</v>
      </c>
      <c r="D279" t="s">
        <v>11</v>
      </c>
      <c r="E279">
        <v>145</v>
      </c>
      <c r="F279">
        <v>2019</v>
      </c>
      <c r="G279" t="s">
        <v>12</v>
      </c>
      <c r="H279" s="10">
        <v>100567.5</v>
      </c>
      <c r="I279">
        <v>0</v>
      </c>
    </row>
    <row r="280" spans="1:9">
      <c r="A280">
        <v>150</v>
      </c>
      <c r="B280" t="s">
        <v>16</v>
      </c>
      <c r="C280" t="s">
        <v>17</v>
      </c>
      <c r="D280" t="s">
        <v>13</v>
      </c>
      <c r="E280">
        <v>205</v>
      </c>
      <c r="F280">
        <v>2019</v>
      </c>
      <c r="G280" t="s">
        <v>14</v>
      </c>
      <c r="H280" s="10">
        <v>26139.24</v>
      </c>
      <c r="I280">
        <v>0</v>
      </c>
    </row>
    <row r="281" spans="1:9">
      <c r="A281">
        <v>158</v>
      </c>
      <c r="B281" t="s">
        <v>9</v>
      </c>
      <c r="C281" t="s">
        <v>15</v>
      </c>
      <c r="D281" t="s">
        <v>11</v>
      </c>
      <c r="E281">
        <v>195</v>
      </c>
      <c r="F281">
        <v>2019</v>
      </c>
      <c r="G281" t="s">
        <v>18</v>
      </c>
      <c r="H281" s="1">
        <v>87548.04</v>
      </c>
      <c r="I281">
        <v>0</v>
      </c>
    </row>
    <row r="282" spans="1:9">
      <c r="A282">
        <v>180</v>
      </c>
      <c r="B282" t="s">
        <v>9</v>
      </c>
      <c r="C282" t="s">
        <v>19</v>
      </c>
      <c r="D282" t="s">
        <v>11</v>
      </c>
      <c r="E282">
        <v>160</v>
      </c>
      <c r="F282">
        <v>2019</v>
      </c>
      <c r="G282" t="s">
        <v>14</v>
      </c>
      <c r="H282" s="10">
        <v>93024.8</v>
      </c>
      <c r="I282">
        <v>0</v>
      </c>
    </row>
    <row r="283" spans="1:9">
      <c r="A283">
        <v>188</v>
      </c>
      <c r="B283" t="s">
        <v>9</v>
      </c>
      <c r="C283" t="s">
        <v>10</v>
      </c>
      <c r="D283" t="s">
        <v>13</v>
      </c>
      <c r="E283">
        <v>125</v>
      </c>
      <c r="F283">
        <v>2019</v>
      </c>
      <c r="G283" t="s">
        <v>22</v>
      </c>
      <c r="H283" s="10">
        <v>112683.3</v>
      </c>
      <c r="I283">
        <v>0</v>
      </c>
    </row>
    <row r="284" spans="1:9">
      <c r="A284">
        <v>194</v>
      </c>
      <c r="B284" t="s">
        <v>16</v>
      </c>
      <c r="C284" t="s">
        <v>19</v>
      </c>
      <c r="D284" t="s">
        <v>24</v>
      </c>
      <c r="E284">
        <v>195</v>
      </c>
      <c r="F284">
        <v>2019</v>
      </c>
      <c r="G284" t="s">
        <v>14</v>
      </c>
      <c r="H284" s="10">
        <v>36980.28</v>
      </c>
      <c r="I284">
        <v>0</v>
      </c>
    </row>
    <row r="285" spans="1:9">
      <c r="A285">
        <v>213</v>
      </c>
      <c r="B285" t="s">
        <v>16</v>
      </c>
      <c r="C285" t="s">
        <v>19</v>
      </c>
      <c r="D285" t="s">
        <v>11</v>
      </c>
      <c r="E285">
        <v>190</v>
      </c>
      <c r="F285">
        <v>2019</v>
      </c>
      <c r="G285" t="s">
        <v>22</v>
      </c>
      <c r="H285" s="10">
        <v>25100.9</v>
      </c>
      <c r="I285">
        <v>0</v>
      </c>
    </row>
    <row r="286" spans="1:9">
      <c r="A286">
        <v>224</v>
      </c>
      <c r="B286" t="s">
        <v>9</v>
      </c>
      <c r="C286" t="s">
        <v>15</v>
      </c>
      <c r="D286" t="s">
        <v>11</v>
      </c>
      <c r="E286">
        <v>135</v>
      </c>
      <c r="F286">
        <v>2019</v>
      </c>
      <c r="G286" t="s">
        <v>22</v>
      </c>
      <c r="H286" s="1">
        <v>95760.4</v>
      </c>
      <c r="I286">
        <v>0</v>
      </c>
    </row>
    <row r="287" spans="1:9">
      <c r="A287">
        <v>232</v>
      </c>
      <c r="B287" t="s">
        <v>9</v>
      </c>
      <c r="C287" t="s">
        <v>17</v>
      </c>
      <c r="D287" t="s">
        <v>13</v>
      </c>
      <c r="E287">
        <v>145</v>
      </c>
      <c r="F287">
        <v>2019</v>
      </c>
      <c r="G287" t="s">
        <v>18</v>
      </c>
      <c r="H287" s="10">
        <v>106021.44</v>
      </c>
      <c r="I287">
        <v>0</v>
      </c>
    </row>
    <row r="288" spans="1:9">
      <c r="A288">
        <v>241</v>
      </c>
      <c r="B288" t="s">
        <v>9</v>
      </c>
      <c r="C288" t="s">
        <v>19</v>
      </c>
      <c r="D288" t="s">
        <v>11</v>
      </c>
      <c r="E288">
        <v>155</v>
      </c>
      <c r="F288">
        <v>2019</v>
      </c>
      <c r="G288" t="s">
        <v>18</v>
      </c>
      <c r="H288" s="10">
        <v>109946.16</v>
      </c>
      <c r="I288">
        <v>0</v>
      </c>
    </row>
    <row r="289" spans="1:9">
      <c r="A289">
        <v>246</v>
      </c>
      <c r="B289" t="s">
        <v>16</v>
      </c>
      <c r="C289" t="s">
        <v>17</v>
      </c>
      <c r="D289" t="s">
        <v>11</v>
      </c>
      <c r="E289">
        <v>200</v>
      </c>
      <c r="F289">
        <v>2019</v>
      </c>
      <c r="G289" t="s">
        <v>22</v>
      </c>
      <c r="H289" s="1">
        <v>37101.06</v>
      </c>
      <c r="I289">
        <v>0</v>
      </c>
    </row>
    <row r="290" spans="1:9">
      <c r="A290">
        <v>247</v>
      </c>
      <c r="B290" t="s">
        <v>16</v>
      </c>
      <c r="C290" t="s">
        <v>23</v>
      </c>
      <c r="D290" t="s">
        <v>11</v>
      </c>
      <c r="E290">
        <v>200</v>
      </c>
      <c r="F290">
        <v>2019</v>
      </c>
      <c r="G290" t="s">
        <v>18</v>
      </c>
      <c r="H290" s="1">
        <v>30556.44</v>
      </c>
      <c r="I290">
        <v>0</v>
      </c>
    </row>
    <row r="291" spans="1:9">
      <c r="A291">
        <v>275</v>
      </c>
      <c r="B291" t="s">
        <v>16</v>
      </c>
      <c r="C291" t="s">
        <v>19</v>
      </c>
      <c r="D291" t="s">
        <v>11</v>
      </c>
      <c r="E291">
        <v>180</v>
      </c>
      <c r="F291">
        <v>2020</v>
      </c>
      <c r="G291" t="s">
        <v>12</v>
      </c>
      <c r="H291" s="10">
        <v>44290</v>
      </c>
      <c r="I291">
        <v>0</v>
      </c>
    </row>
    <row r="292" spans="1:9">
      <c r="A292">
        <v>281</v>
      </c>
      <c r="B292" t="s">
        <v>9</v>
      </c>
      <c r="C292" t="s">
        <v>15</v>
      </c>
      <c r="D292" t="s">
        <v>11</v>
      </c>
      <c r="E292">
        <v>130</v>
      </c>
      <c r="F292">
        <v>2021</v>
      </c>
      <c r="G292" t="s">
        <v>12</v>
      </c>
      <c r="H292" s="1">
        <v>127181.579999999</v>
      </c>
      <c r="I292">
        <v>0</v>
      </c>
    </row>
    <row r="293" spans="1:9">
      <c r="A293">
        <v>288</v>
      </c>
      <c r="B293" t="s">
        <v>16</v>
      </c>
      <c r="C293" t="s">
        <v>17</v>
      </c>
      <c r="D293" t="s">
        <v>11</v>
      </c>
      <c r="E293">
        <v>215</v>
      </c>
      <c r="F293">
        <v>2021</v>
      </c>
      <c r="G293" t="s">
        <v>14</v>
      </c>
      <c r="H293" s="10">
        <v>25816.799999999999</v>
      </c>
      <c r="I293">
        <v>0</v>
      </c>
    </row>
    <row r="294" spans="1:9">
      <c r="A294">
        <v>304</v>
      </c>
      <c r="B294" t="s">
        <v>9</v>
      </c>
      <c r="C294" t="s">
        <v>19</v>
      </c>
      <c r="D294" t="s">
        <v>13</v>
      </c>
      <c r="E294">
        <v>220</v>
      </c>
      <c r="F294">
        <v>2021</v>
      </c>
      <c r="G294" t="s">
        <v>12</v>
      </c>
      <c r="H294" s="10">
        <v>107226</v>
      </c>
      <c r="I294">
        <v>0</v>
      </c>
    </row>
    <row r="295" spans="1:9">
      <c r="A295">
        <v>306</v>
      </c>
      <c r="B295" t="s">
        <v>16</v>
      </c>
      <c r="C295" t="s">
        <v>15</v>
      </c>
      <c r="D295" t="s">
        <v>11</v>
      </c>
      <c r="E295">
        <v>175</v>
      </c>
      <c r="F295">
        <v>2021</v>
      </c>
      <c r="G295" t="s">
        <v>18</v>
      </c>
      <c r="H295" s="10">
        <v>40851.599999999999</v>
      </c>
      <c r="I295">
        <v>0</v>
      </c>
    </row>
    <row r="296" spans="1:9">
      <c r="A296">
        <v>312</v>
      </c>
      <c r="B296" t="s">
        <v>16</v>
      </c>
      <c r="C296" t="s">
        <v>19</v>
      </c>
      <c r="D296" t="s">
        <v>11</v>
      </c>
      <c r="E296">
        <v>175</v>
      </c>
      <c r="F296">
        <v>2021</v>
      </c>
      <c r="G296" t="s">
        <v>14</v>
      </c>
      <c r="H296" s="10">
        <v>37052.400000000001</v>
      </c>
      <c r="I296">
        <v>0</v>
      </c>
    </row>
    <row r="297" spans="1:9">
      <c r="A297">
        <v>318</v>
      </c>
      <c r="B297" t="s">
        <v>9</v>
      </c>
      <c r="C297" t="s">
        <v>15</v>
      </c>
      <c r="D297" t="s">
        <v>11</v>
      </c>
      <c r="E297">
        <v>90</v>
      </c>
      <c r="F297">
        <v>2021</v>
      </c>
      <c r="G297" t="s">
        <v>12</v>
      </c>
      <c r="H297" s="1">
        <v>127162.799999999</v>
      </c>
      <c r="I297">
        <v>0</v>
      </c>
    </row>
    <row r="298" spans="1:9">
      <c r="A298">
        <v>321</v>
      </c>
      <c r="B298" t="s">
        <v>16</v>
      </c>
      <c r="C298" t="s">
        <v>15</v>
      </c>
      <c r="D298" t="s">
        <v>11</v>
      </c>
      <c r="E298">
        <v>110</v>
      </c>
      <c r="F298">
        <v>2021</v>
      </c>
      <c r="G298" t="s">
        <v>14</v>
      </c>
      <c r="H298" s="10">
        <v>30102</v>
      </c>
      <c r="I298">
        <v>0</v>
      </c>
    </row>
    <row r="299" spans="1:9">
      <c r="A299">
        <v>327</v>
      </c>
      <c r="B299" t="s">
        <v>9</v>
      </c>
      <c r="C299" t="s">
        <v>15</v>
      </c>
      <c r="D299" t="s">
        <v>13</v>
      </c>
      <c r="E299">
        <v>175</v>
      </c>
      <c r="F299">
        <v>2021</v>
      </c>
      <c r="G299" t="s">
        <v>22</v>
      </c>
      <c r="H299" s="10">
        <v>103276.8</v>
      </c>
      <c r="I299">
        <v>0</v>
      </c>
    </row>
    <row r="300" spans="1:9">
      <c r="A300">
        <v>329</v>
      </c>
      <c r="B300" t="s">
        <v>16</v>
      </c>
      <c r="C300" t="s">
        <v>10</v>
      </c>
      <c r="D300" t="s">
        <v>13</v>
      </c>
      <c r="E300">
        <v>120</v>
      </c>
      <c r="F300">
        <v>2021</v>
      </c>
      <c r="G300" t="s">
        <v>14</v>
      </c>
      <c r="H300" s="1">
        <v>46294.799999999901</v>
      </c>
      <c r="I300">
        <v>0</v>
      </c>
    </row>
    <row r="301" spans="1:9">
      <c r="A301">
        <v>337</v>
      </c>
      <c r="B301" t="s">
        <v>9</v>
      </c>
      <c r="C301" t="s">
        <v>15</v>
      </c>
      <c r="D301" t="s">
        <v>13</v>
      </c>
      <c r="E301">
        <v>220</v>
      </c>
      <c r="F301">
        <v>2021</v>
      </c>
      <c r="G301" t="s">
        <v>12</v>
      </c>
      <c r="H301" s="10">
        <v>121363.2</v>
      </c>
      <c r="I301">
        <v>0</v>
      </c>
    </row>
    <row r="302" spans="1:9">
      <c r="A302">
        <v>338</v>
      </c>
      <c r="B302" t="s">
        <v>16</v>
      </c>
      <c r="C302" t="s">
        <v>17</v>
      </c>
      <c r="D302" t="s">
        <v>13</v>
      </c>
      <c r="E302">
        <v>135</v>
      </c>
      <c r="F302">
        <v>2021</v>
      </c>
      <c r="G302" t="s">
        <v>18</v>
      </c>
      <c r="H302" s="1">
        <v>43828.799999999901</v>
      </c>
      <c r="I302">
        <v>0</v>
      </c>
    </row>
    <row r="303" spans="1:9">
      <c r="A303">
        <v>340</v>
      </c>
      <c r="B303" t="s">
        <v>9</v>
      </c>
      <c r="C303" t="s">
        <v>19</v>
      </c>
      <c r="D303" t="s">
        <v>13</v>
      </c>
      <c r="E303">
        <v>150</v>
      </c>
      <c r="F303">
        <v>2021</v>
      </c>
      <c r="G303" t="s">
        <v>14</v>
      </c>
      <c r="H303" s="10">
        <v>118746</v>
      </c>
      <c r="I303">
        <v>0</v>
      </c>
    </row>
    <row r="304" spans="1:9">
      <c r="A304">
        <v>353</v>
      </c>
      <c r="B304" t="s">
        <v>16</v>
      </c>
      <c r="C304" t="s">
        <v>19</v>
      </c>
      <c r="D304" t="s">
        <v>24</v>
      </c>
      <c r="E304">
        <v>140</v>
      </c>
      <c r="F304">
        <v>2021</v>
      </c>
      <c r="G304" t="s">
        <v>14</v>
      </c>
      <c r="H304" s="1">
        <v>38110.799999999901</v>
      </c>
      <c r="I304">
        <v>0</v>
      </c>
    </row>
    <row r="305" spans="1:9">
      <c r="A305">
        <v>359</v>
      </c>
      <c r="B305" t="s">
        <v>20</v>
      </c>
      <c r="C305" t="s">
        <v>17</v>
      </c>
      <c r="D305" t="s">
        <v>11</v>
      </c>
      <c r="E305">
        <v>165</v>
      </c>
      <c r="F305">
        <v>2021</v>
      </c>
      <c r="G305" t="s">
        <v>18</v>
      </c>
      <c r="H305" s="1">
        <v>104685.599999999</v>
      </c>
      <c r="I305">
        <v>0</v>
      </c>
    </row>
    <row r="306" spans="1:9">
      <c r="A306">
        <v>361</v>
      </c>
      <c r="B306" t="s">
        <v>9</v>
      </c>
      <c r="C306" t="s">
        <v>17</v>
      </c>
      <c r="D306" t="s">
        <v>13</v>
      </c>
      <c r="E306">
        <v>210</v>
      </c>
      <c r="F306">
        <v>2021</v>
      </c>
      <c r="G306" t="s">
        <v>12</v>
      </c>
      <c r="H306" s="10">
        <v>119652</v>
      </c>
      <c r="I306">
        <v>0</v>
      </c>
    </row>
    <row r="307" spans="1:9">
      <c r="A307">
        <v>366</v>
      </c>
      <c r="B307" t="s">
        <v>16</v>
      </c>
      <c r="C307" t="s">
        <v>19</v>
      </c>
      <c r="D307" t="s">
        <v>11</v>
      </c>
      <c r="E307">
        <v>150</v>
      </c>
      <c r="F307">
        <v>2021</v>
      </c>
      <c r="G307" t="s">
        <v>12</v>
      </c>
      <c r="H307" s="1">
        <v>46180.799999999901</v>
      </c>
      <c r="I307">
        <v>0</v>
      </c>
    </row>
    <row r="308" spans="1:9">
      <c r="A308">
        <v>370</v>
      </c>
      <c r="B308" t="s">
        <v>16</v>
      </c>
      <c r="C308" t="s">
        <v>19</v>
      </c>
      <c r="D308" t="s">
        <v>11</v>
      </c>
      <c r="E308">
        <v>160</v>
      </c>
      <c r="F308">
        <v>2021</v>
      </c>
      <c r="G308" t="s">
        <v>18</v>
      </c>
      <c r="H308" s="10">
        <v>33554.400000000001</v>
      </c>
      <c r="I308">
        <v>0</v>
      </c>
    </row>
    <row r="309" spans="1:9">
      <c r="A309">
        <v>388</v>
      </c>
      <c r="B309" t="s">
        <v>9</v>
      </c>
      <c r="C309" t="s">
        <v>23</v>
      </c>
      <c r="D309" t="s">
        <v>11</v>
      </c>
      <c r="E309">
        <v>225</v>
      </c>
      <c r="F309">
        <v>2021</v>
      </c>
      <c r="G309" t="s">
        <v>18</v>
      </c>
      <c r="H309" s="10">
        <v>113912.4</v>
      </c>
      <c r="I309">
        <v>0</v>
      </c>
    </row>
    <row r="310" spans="1:9">
      <c r="A310">
        <v>389</v>
      </c>
      <c r="B310" t="s">
        <v>16</v>
      </c>
      <c r="C310" t="s">
        <v>17</v>
      </c>
      <c r="D310" t="s">
        <v>11</v>
      </c>
      <c r="E310">
        <v>135</v>
      </c>
      <c r="F310">
        <v>2021</v>
      </c>
      <c r="G310" t="s">
        <v>18</v>
      </c>
      <c r="H310" s="10">
        <v>39584.400000000001</v>
      </c>
      <c r="I310">
        <v>0</v>
      </c>
    </row>
    <row r="311" spans="1:9">
      <c r="A311">
        <v>392</v>
      </c>
      <c r="B311" t="s">
        <v>9</v>
      </c>
      <c r="C311" t="s">
        <v>17</v>
      </c>
      <c r="D311" t="s">
        <v>11</v>
      </c>
      <c r="E311">
        <v>195</v>
      </c>
      <c r="F311">
        <v>2021</v>
      </c>
      <c r="G311" t="s">
        <v>22</v>
      </c>
      <c r="H311" s="10">
        <v>103060.8</v>
      </c>
      <c r="I311">
        <v>0</v>
      </c>
    </row>
    <row r="312" spans="1:9">
      <c r="A312">
        <v>402</v>
      </c>
      <c r="B312" t="s">
        <v>16</v>
      </c>
      <c r="C312" t="s">
        <v>19</v>
      </c>
      <c r="D312" t="s">
        <v>13</v>
      </c>
      <c r="E312">
        <v>165</v>
      </c>
      <c r="F312">
        <v>2021</v>
      </c>
      <c r="G312" t="s">
        <v>18</v>
      </c>
      <c r="H312" s="10">
        <v>33697.199999999997</v>
      </c>
      <c r="I312">
        <v>0</v>
      </c>
    </row>
    <row r="313" spans="1:9">
      <c r="A313">
        <v>424</v>
      </c>
      <c r="B313" t="s">
        <v>16</v>
      </c>
      <c r="C313" t="s">
        <v>15</v>
      </c>
      <c r="D313" t="s">
        <v>13</v>
      </c>
      <c r="E313">
        <v>190</v>
      </c>
      <c r="F313">
        <v>2022</v>
      </c>
      <c r="G313" t="s">
        <v>14</v>
      </c>
      <c r="H313" s="10">
        <v>34626.959999999999</v>
      </c>
      <c r="I313">
        <v>0</v>
      </c>
    </row>
    <row r="314" spans="1:9">
      <c r="A314">
        <v>435</v>
      </c>
      <c r="B314" t="s">
        <v>9</v>
      </c>
      <c r="C314" t="s">
        <v>17</v>
      </c>
      <c r="D314" t="s">
        <v>11</v>
      </c>
      <c r="E314">
        <v>160</v>
      </c>
      <c r="F314">
        <v>2022</v>
      </c>
      <c r="G314" t="s">
        <v>22</v>
      </c>
      <c r="H314" s="10">
        <v>121287.84</v>
      </c>
      <c r="I314">
        <v>0</v>
      </c>
    </row>
    <row r="315" spans="1:9">
      <c r="A315">
        <v>455</v>
      </c>
      <c r="B315" t="s">
        <v>16</v>
      </c>
      <c r="C315" t="s">
        <v>17</v>
      </c>
      <c r="D315" t="s">
        <v>11</v>
      </c>
      <c r="E315">
        <v>145</v>
      </c>
      <c r="F315">
        <v>2022</v>
      </c>
      <c r="G315" t="s">
        <v>12</v>
      </c>
      <c r="H315" s="10">
        <v>49142.19</v>
      </c>
      <c r="I315">
        <v>0</v>
      </c>
    </row>
    <row r="316" spans="1:9">
      <c r="A316">
        <v>466</v>
      </c>
      <c r="B316" t="s">
        <v>16</v>
      </c>
      <c r="C316" t="s">
        <v>17</v>
      </c>
      <c r="D316" t="s">
        <v>11</v>
      </c>
      <c r="E316">
        <v>200</v>
      </c>
      <c r="F316">
        <v>2022</v>
      </c>
      <c r="G316" t="s">
        <v>22</v>
      </c>
      <c r="H316" s="10">
        <v>32921.25</v>
      </c>
      <c r="I316">
        <v>0</v>
      </c>
    </row>
    <row r="317" spans="1:9">
      <c r="A317">
        <v>474</v>
      </c>
      <c r="B317" t="s">
        <v>16</v>
      </c>
      <c r="C317" t="s">
        <v>17</v>
      </c>
      <c r="D317" t="s">
        <v>13</v>
      </c>
      <c r="E317">
        <v>95</v>
      </c>
      <c r="F317">
        <v>2022</v>
      </c>
      <c r="G317" t="s">
        <v>18</v>
      </c>
      <c r="H317" s="10">
        <v>34130</v>
      </c>
      <c r="I317">
        <v>0</v>
      </c>
    </row>
    <row r="318" spans="1:9">
      <c r="A318">
        <v>475</v>
      </c>
      <c r="B318" t="s">
        <v>9</v>
      </c>
      <c r="C318" t="s">
        <v>10</v>
      </c>
      <c r="D318" t="s">
        <v>11</v>
      </c>
      <c r="E318">
        <v>170</v>
      </c>
      <c r="F318">
        <v>2022</v>
      </c>
      <c r="G318" t="s">
        <v>18</v>
      </c>
      <c r="H318" s="10">
        <v>101576.25</v>
      </c>
      <c r="I318">
        <v>0</v>
      </c>
    </row>
    <row r="319" spans="1:9">
      <c r="A319">
        <v>477</v>
      </c>
      <c r="B319" t="s">
        <v>9</v>
      </c>
      <c r="C319" t="s">
        <v>19</v>
      </c>
      <c r="D319" t="s">
        <v>11</v>
      </c>
      <c r="E319">
        <v>155</v>
      </c>
      <c r="F319">
        <v>2022</v>
      </c>
      <c r="G319" t="s">
        <v>12</v>
      </c>
      <c r="H319" s="10">
        <v>113855</v>
      </c>
      <c r="I319">
        <v>0</v>
      </c>
    </row>
    <row r="320" spans="1:9">
      <c r="A320">
        <v>478</v>
      </c>
      <c r="B320" t="s">
        <v>9</v>
      </c>
      <c r="C320" t="s">
        <v>23</v>
      </c>
      <c r="D320" t="s">
        <v>13</v>
      </c>
      <c r="E320">
        <v>220</v>
      </c>
      <c r="F320">
        <v>2022</v>
      </c>
      <c r="G320" t="s">
        <v>18</v>
      </c>
      <c r="H320" s="10">
        <v>124838.75</v>
      </c>
      <c r="I320">
        <v>0</v>
      </c>
    </row>
    <row r="321" spans="1:9">
      <c r="A321">
        <v>481</v>
      </c>
      <c r="B321" t="s">
        <v>16</v>
      </c>
      <c r="C321" t="s">
        <v>23</v>
      </c>
      <c r="D321" t="s">
        <v>11</v>
      </c>
      <c r="E321">
        <v>135</v>
      </c>
      <c r="F321">
        <v>2022</v>
      </c>
      <c r="G321" t="s">
        <v>14</v>
      </c>
      <c r="H321" s="10">
        <v>43270</v>
      </c>
      <c r="I321">
        <v>0</v>
      </c>
    </row>
    <row r="322" spans="1:9">
      <c r="A322">
        <v>482</v>
      </c>
      <c r="B322" t="s">
        <v>16</v>
      </c>
      <c r="C322" t="s">
        <v>17</v>
      </c>
      <c r="D322" t="s">
        <v>11</v>
      </c>
      <c r="E322">
        <v>110</v>
      </c>
      <c r="F322">
        <v>2022</v>
      </c>
      <c r="G322" t="s">
        <v>12</v>
      </c>
      <c r="H322" s="10">
        <v>32543.75</v>
      </c>
      <c r="I322">
        <v>0</v>
      </c>
    </row>
    <row r="323" spans="1:9">
      <c r="A323">
        <v>485</v>
      </c>
      <c r="B323" t="s">
        <v>16</v>
      </c>
      <c r="C323" t="s">
        <v>19</v>
      </c>
      <c r="D323" t="s">
        <v>13</v>
      </c>
      <c r="E323">
        <v>125</v>
      </c>
      <c r="F323">
        <v>2022</v>
      </c>
      <c r="G323" t="s">
        <v>22</v>
      </c>
      <c r="H323" s="10">
        <v>37522.5</v>
      </c>
      <c r="I323">
        <v>0</v>
      </c>
    </row>
    <row r="324" spans="1:9">
      <c r="A324">
        <v>488</v>
      </c>
      <c r="B324" t="s">
        <v>9</v>
      </c>
      <c r="C324" t="s">
        <v>15</v>
      </c>
      <c r="D324" t="s">
        <v>13</v>
      </c>
      <c r="E324">
        <v>245</v>
      </c>
      <c r="F324">
        <v>2022</v>
      </c>
      <c r="G324" t="s">
        <v>14</v>
      </c>
      <c r="H324" s="10">
        <v>123923.75</v>
      </c>
      <c r="I324">
        <v>0</v>
      </c>
    </row>
    <row r="325" spans="1:9">
      <c r="A325">
        <v>490</v>
      </c>
      <c r="B325" t="s">
        <v>16</v>
      </c>
      <c r="C325" t="s">
        <v>17</v>
      </c>
      <c r="D325" t="s">
        <v>11</v>
      </c>
      <c r="E325">
        <v>215</v>
      </c>
      <c r="F325">
        <v>2022</v>
      </c>
      <c r="G325" t="s">
        <v>18</v>
      </c>
      <c r="H325" s="10">
        <v>40152.5</v>
      </c>
      <c r="I325">
        <v>0</v>
      </c>
    </row>
    <row r="326" spans="1:9">
      <c r="A326">
        <v>492</v>
      </c>
      <c r="B326" t="s">
        <v>20</v>
      </c>
      <c r="C326" t="s">
        <v>15</v>
      </c>
      <c r="D326" t="s">
        <v>13</v>
      </c>
      <c r="E326">
        <v>130</v>
      </c>
      <c r="F326">
        <v>2022</v>
      </c>
      <c r="G326" t="s">
        <v>12</v>
      </c>
      <c r="H326" s="10">
        <v>111505</v>
      </c>
      <c r="I326">
        <v>0</v>
      </c>
    </row>
    <row r="327" spans="1:9">
      <c r="A327">
        <v>499</v>
      </c>
      <c r="B327" t="s">
        <v>16</v>
      </c>
      <c r="C327" t="s">
        <v>23</v>
      </c>
      <c r="D327" t="s">
        <v>11</v>
      </c>
      <c r="E327">
        <v>105</v>
      </c>
      <c r="F327">
        <v>2022</v>
      </c>
      <c r="G327" t="s">
        <v>18</v>
      </c>
      <c r="H327" s="10">
        <v>42772.5</v>
      </c>
      <c r="I327">
        <v>0</v>
      </c>
    </row>
    <row r="328" spans="1:9">
      <c r="A328">
        <v>1</v>
      </c>
      <c r="B328" t="s">
        <v>9</v>
      </c>
      <c r="C328" t="s">
        <v>15</v>
      </c>
      <c r="D328" t="s">
        <v>11</v>
      </c>
      <c r="E328">
        <v>180</v>
      </c>
      <c r="F328">
        <v>2017</v>
      </c>
      <c r="G328" t="s">
        <v>14</v>
      </c>
      <c r="H328" s="10">
        <v>45713</v>
      </c>
      <c r="I328">
        <v>0</v>
      </c>
    </row>
    <row r="329" spans="1:9">
      <c r="A329">
        <v>41</v>
      </c>
      <c r="B329" t="s">
        <v>20</v>
      </c>
      <c r="C329" t="s">
        <v>23</v>
      </c>
      <c r="D329" t="s">
        <v>11</v>
      </c>
      <c r="E329">
        <v>140</v>
      </c>
      <c r="F329">
        <v>2018</v>
      </c>
      <c r="G329" t="s">
        <v>14</v>
      </c>
      <c r="H329" s="1">
        <v>114636.9</v>
      </c>
      <c r="I329">
        <v>0</v>
      </c>
    </row>
    <row r="330" spans="1:9">
      <c r="A330">
        <v>44</v>
      </c>
      <c r="B330" t="s">
        <v>9</v>
      </c>
      <c r="C330" t="s">
        <v>17</v>
      </c>
      <c r="D330" t="s">
        <v>13</v>
      </c>
      <c r="E330">
        <v>185</v>
      </c>
      <c r="F330">
        <v>2018</v>
      </c>
      <c r="G330" t="s">
        <v>14</v>
      </c>
      <c r="H330" s="10">
        <v>110680.5</v>
      </c>
      <c r="I330">
        <v>0</v>
      </c>
    </row>
    <row r="331" spans="1:9">
      <c r="A331">
        <v>53</v>
      </c>
      <c r="B331" t="s">
        <v>9</v>
      </c>
      <c r="C331" t="s">
        <v>23</v>
      </c>
      <c r="D331" t="s">
        <v>11</v>
      </c>
      <c r="E331">
        <v>240</v>
      </c>
      <c r="F331">
        <v>2018</v>
      </c>
      <c r="G331" t="s">
        <v>14</v>
      </c>
      <c r="H331" s="10">
        <v>101242.05</v>
      </c>
      <c r="I331">
        <v>0</v>
      </c>
    </row>
    <row r="332" spans="1:9">
      <c r="A332">
        <v>96</v>
      </c>
      <c r="B332" t="s">
        <v>9</v>
      </c>
      <c r="C332" t="s">
        <v>10</v>
      </c>
      <c r="D332" t="s">
        <v>11</v>
      </c>
      <c r="E332">
        <v>240</v>
      </c>
      <c r="F332">
        <v>2018</v>
      </c>
      <c r="G332" t="s">
        <v>14</v>
      </c>
      <c r="H332" s="10">
        <v>112532.16</v>
      </c>
      <c r="I332">
        <v>0</v>
      </c>
    </row>
    <row r="333" spans="1:9">
      <c r="A333">
        <v>111</v>
      </c>
      <c r="B333" t="s">
        <v>9</v>
      </c>
      <c r="C333" t="s">
        <v>19</v>
      </c>
      <c r="D333" t="s">
        <v>13</v>
      </c>
      <c r="E333">
        <v>190</v>
      </c>
      <c r="F333">
        <v>2018</v>
      </c>
      <c r="G333" t="s">
        <v>18</v>
      </c>
      <c r="H333" s="10">
        <v>108838.8</v>
      </c>
      <c r="I333">
        <v>0</v>
      </c>
    </row>
    <row r="334" spans="1:9">
      <c r="A334">
        <v>130</v>
      </c>
      <c r="B334" t="s">
        <v>20</v>
      </c>
      <c r="C334" t="s">
        <v>19</v>
      </c>
      <c r="D334" t="s">
        <v>11</v>
      </c>
      <c r="E334">
        <v>220</v>
      </c>
      <c r="F334">
        <v>2019</v>
      </c>
      <c r="G334" t="s">
        <v>22</v>
      </c>
      <c r="H334" s="1">
        <v>95341.7</v>
      </c>
      <c r="I334">
        <v>0</v>
      </c>
    </row>
    <row r="335" spans="1:9">
      <c r="A335">
        <v>134</v>
      </c>
      <c r="B335" t="s">
        <v>9</v>
      </c>
      <c r="C335" t="s">
        <v>10</v>
      </c>
      <c r="D335" t="s">
        <v>13</v>
      </c>
      <c r="E335">
        <v>235</v>
      </c>
      <c r="F335">
        <v>2019</v>
      </c>
      <c r="G335" t="s">
        <v>18</v>
      </c>
      <c r="H335" s="1">
        <v>103370.04</v>
      </c>
      <c r="I335">
        <v>0</v>
      </c>
    </row>
    <row r="336" spans="1:9">
      <c r="A336">
        <v>175</v>
      </c>
      <c r="B336" t="s">
        <v>9</v>
      </c>
      <c r="C336" t="s">
        <v>10</v>
      </c>
      <c r="D336" t="s">
        <v>13</v>
      </c>
      <c r="E336">
        <v>170</v>
      </c>
      <c r="F336">
        <v>2019</v>
      </c>
      <c r="G336" t="s">
        <v>12</v>
      </c>
      <c r="H336" s="10">
        <v>96691.32</v>
      </c>
      <c r="I336">
        <v>0</v>
      </c>
    </row>
    <row r="337" spans="1:9">
      <c r="A337">
        <v>178</v>
      </c>
      <c r="B337" t="s">
        <v>9</v>
      </c>
      <c r="C337" t="s">
        <v>19</v>
      </c>
      <c r="D337" t="s">
        <v>13</v>
      </c>
      <c r="E337">
        <v>205</v>
      </c>
      <c r="F337">
        <v>2019</v>
      </c>
      <c r="G337" t="s">
        <v>22</v>
      </c>
      <c r="H337" s="10">
        <v>108794.88</v>
      </c>
      <c r="I337">
        <v>0</v>
      </c>
    </row>
    <row r="338" spans="1:9">
      <c r="A338">
        <v>179</v>
      </c>
      <c r="B338" t="s">
        <v>9</v>
      </c>
      <c r="C338" t="s">
        <v>23</v>
      </c>
      <c r="D338" t="s">
        <v>13</v>
      </c>
      <c r="E338">
        <v>95</v>
      </c>
      <c r="F338">
        <v>2019</v>
      </c>
      <c r="G338" t="s">
        <v>12</v>
      </c>
      <c r="H338" s="10">
        <v>95797.08</v>
      </c>
      <c r="I338">
        <v>0</v>
      </c>
    </row>
    <row r="339" spans="1:9">
      <c r="A339">
        <v>199</v>
      </c>
      <c r="B339" t="s">
        <v>16</v>
      </c>
      <c r="C339" t="s">
        <v>17</v>
      </c>
      <c r="D339" t="s">
        <v>11</v>
      </c>
      <c r="E339">
        <v>120</v>
      </c>
      <c r="F339">
        <v>2019</v>
      </c>
      <c r="G339" t="s">
        <v>14</v>
      </c>
      <c r="H339" s="10">
        <v>35300.120000000003</v>
      </c>
      <c r="I339">
        <v>0</v>
      </c>
    </row>
    <row r="340" spans="1:9">
      <c r="A340">
        <v>204</v>
      </c>
      <c r="B340" t="s">
        <v>9</v>
      </c>
      <c r="C340" t="s">
        <v>10</v>
      </c>
      <c r="D340" t="s">
        <v>13</v>
      </c>
      <c r="E340">
        <v>230</v>
      </c>
      <c r="F340">
        <v>2019</v>
      </c>
      <c r="G340" t="s">
        <v>22</v>
      </c>
      <c r="H340" s="10">
        <v>106868.14</v>
      </c>
      <c r="I340">
        <v>0</v>
      </c>
    </row>
    <row r="341" spans="1:9">
      <c r="A341">
        <v>209</v>
      </c>
      <c r="B341" t="s">
        <v>16</v>
      </c>
      <c r="C341" t="s">
        <v>17</v>
      </c>
      <c r="D341" t="s">
        <v>13</v>
      </c>
      <c r="E341">
        <v>240</v>
      </c>
      <c r="F341">
        <v>2019</v>
      </c>
      <c r="G341" t="s">
        <v>18</v>
      </c>
      <c r="H341" s="1">
        <v>30456.98</v>
      </c>
      <c r="I341">
        <v>0</v>
      </c>
    </row>
    <row r="342" spans="1:9">
      <c r="A342">
        <v>227</v>
      </c>
      <c r="B342" t="s">
        <v>16</v>
      </c>
      <c r="C342" t="s">
        <v>10</v>
      </c>
      <c r="D342" t="s">
        <v>11</v>
      </c>
      <c r="E342">
        <v>240</v>
      </c>
      <c r="F342">
        <v>2019</v>
      </c>
      <c r="G342" t="s">
        <v>22</v>
      </c>
      <c r="H342" s="10">
        <v>30646.080000000002</v>
      </c>
      <c r="I342">
        <v>0</v>
      </c>
    </row>
    <row r="343" spans="1:9">
      <c r="A343">
        <v>228</v>
      </c>
      <c r="B343" t="s">
        <v>16</v>
      </c>
      <c r="C343" t="s">
        <v>19</v>
      </c>
      <c r="D343" t="s">
        <v>11</v>
      </c>
      <c r="E343">
        <v>185</v>
      </c>
      <c r="F343">
        <v>2019</v>
      </c>
      <c r="G343" t="s">
        <v>14</v>
      </c>
      <c r="H343" s="10">
        <v>36587.160000000003</v>
      </c>
      <c r="I343">
        <v>0</v>
      </c>
    </row>
    <row r="344" spans="1:9">
      <c r="A344">
        <v>253</v>
      </c>
      <c r="B344" t="s">
        <v>16</v>
      </c>
      <c r="C344" t="s">
        <v>17</v>
      </c>
      <c r="D344" t="s">
        <v>11</v>
      </c>
      <c r="E344">
        <v>155</v>
      </c>
      <c r="F344">
        <v>2019</v>
      </c>
      <c r="G344" t="s">
        <v>18</v>
      </c>
      <c r="H344" s="1">
        <v>32231.42</v>
      </c>
      <c r="I344">
        <v>0</v>
      </c>
    </row>
    <row r="345" spans="1:9">
      <c r="A345">
        <v>262</v>
      </c>
      <c r="B345" t="s">
        <v>20</v>
      </c>
      <c r="C345" t="s">
        <v>23</v>
      </c>
      <c r="D345" t="s">
        <v>11</v>
      </c>
      <c r="E345">
        <v>135</v>
      </c>
      <c r="F345">
        <v>2020</v>
      </c>
      <c r="G345" t="s">
        <v>12</v>
      </c>
      <c r="H345" s="10">
        <v>130727.5</v>
      </c>
      <c r="I345">
        <v>0</v>
      </c>
    </row>
    <row r="346" spans="1:9">
      <c r="A346">
        <v>264</v>
      </c>
      <c r="B346" t="s">
        <v>9</v>
      </c>
      <c r="C346" t="s">
        <v>17</v>
      </c>
      <c r="D346" t="s">
        <v>11</v>
      </c>
      <c r="E346">
        <v>130</v>
      </c>
      <c r="F346">
        <v>2020</v>
      </c>
      <c r="G346" t="s">
        <v>22</v>
      </c>
      <c r="H346" s="10">
        <v>102783.75</v>
      </c>
      <c r="I346">
        <v>0</v>
      </c>
    </row>
    <row r="347" spans="1:9">
      <c r="A347">
        <v>279</v>
      </c>
      <c r="B347" t="s">
        <v>16</v>
      </c>
      <c r="C347" t="s">
        <v>23</v>
      </c>
      <c r="D347" t="s">
        <v>11</v>
      </c>
      <c r="E347">
        <v>115</v>
      </c>
      <c r="F347">
        <v>2021</v>
      </c>
      <c r="G347" t="s">
        <v>14</v>
      </c>
      <c r="H347" s="10">
        <v>45005.2</v>
      </c>
      <c r="I347">
        <v>0</v>
      </c>
    </row>
    <row r="348" spans="1:9">
      <c r="A348">
        <v>280</v>
      </c>
      <c r="B348" t="s">
        <v>9</v>
      </c>
      <c r="C348" t="s">
        <v>23</v>
      </c>
      <c r="D348" t="s">
        <v>11</v>
      </c>
      <c r="E348">
        <v>150</v>
      </c>
      <c r="F348">
        <v>2021</v>
      </c>
      <c r="G348" t="s">
        <v>14</v>
      </c>
      <c r="H348" s="1">
        <v>94686.739999999903</v>
      </c>
      <c r="I348">
        <v>0</v>
      </c>
    </row>
    <row r="349" spans="1:9">
      <c r="A349">
        <v>300</v>
      </c>
      <c r="B349" t="s">
        <v>9</v>
      </c>
      <c r="C349" t="s">
        <v>15</v>
      </c>
      <c r="D349" t="s">
        <v>13</v>
      </c>
      <c r="E349">
        <v>190</v>
      </c>
      <c r="F349">
        <v>2021</v>
      </c>
      <c r="G349" t="s">
        <v>22</v>
      </c>
      <c r="H349" s="1">
        <v>98055.599999999904</v>
      </c>
      <c r="I349">
        <v>0</v>
      </c>
    </row>
    <row r="350" spans="1:9">
      <c r="A350">
        <v>305</v>
      </c>
      <c r="B350" t="s">
        <v>16</v>
      </c>
      <c r="C350" t="s">
        <v>23</v>
      </c>
      <c r="D350" t="s">
        <v>11</v>
      </c>
      <c r="E350">
        <v>125</v>
      </c>
      <c r="F350">
        <v>2021</v>
      </c>
      <c r="G350" t="s">
        <v>12</v>
      </c>
      <c r="H350" s="10">
        <v>34915.199999999997</v>
      </c>
      <c r="I350">
        <v>0</v>
      </c>
    </row>
    <row r="351" spans="1:9">
      <c r="A351">
        <v>322</v>
      </c>
      <c r="B351" t="s">
        <v>9</v>
      </c>
      <c r="C351" t="s">
        <v>19</v>
      </c>
      <c r="D351" t="s">
        <v>13</v>
      </c>
      <c r="E351">
        <v>200</v>
      </c>
      <c r="F351">
        <v>2021</v>
      </c>
      <c r="G351" t="s">
        <v>14</v>
      </c>
      <c r="H351" s="1">
        <v>105723.599999999</v>
      </c>
      <c r="I351">
        <v>0</v>
      </c>
    </row>
    <row r="352" spans="1:9">
      <c r="A352">
        <v>334</v>
      </c>
      <c r="B352" t="s">
        <v>9</v>
      </c>
      <c r="C352" t="s">
        <v>19</v>
      </c>
      <c r="D352" t="s">
        <v>11</v>
      </c>
      <c r="E352">
        <v>150</v>
      </c>
      <c r="F352">
        <v>2021</v>
      </c>
      <c r="G352" t="s">
        <v>12</v>
      </c>
      <c r="H352" s="10">
        <v>112645.2</v>
      </c>
      <c r="I352">
        <v>0</v>
      </c>
    </row>
    <row r="353" spans="1:9">
      <c r="A353">
        <v>346</v>
      </c>
      <c r="B353" t="s">
        <v>16</v>
      </c>
      <c r="C353" t="s">
        <v>23</v>
      </c>
      <c r="D353" t="s">
        <v>13</v>
      </c>
      <c r="E353">
        <v>195</v>
      </c>
      <c r="F353">
        <v>2021</v>
      </c>
      <c r="G353" t="s">
        <v>12</v>
      </c>
      <c r="H353" s="10">
        <v>41354.400000000001</v>
      </c>
      <c r="I353">
        <v>0</v>
      </c>
    </row>
    <row r="354" spans="1:9">
      <c r="A354">
        <v>362</v>
      </c>
      <c r="B354" t="s">
        <v>9</v>
      </c>
      <c r="C354" t="s">
        <v>15</v>
      </c>
      <c r="D354" t="s">
        <v>13</v>
      </c>
      <c r="E354">
        <v>140</v>
      </c>
      <c r="F354">
        <v>2021</v>
      </c>
      <c r="G354" t="s">
        <v>22</v>
      </c>
      <c r="H354" s="10">
        <v>116605.2</v>
      </c>
      <c r="I354">
        <v>0</v>
      </c>
    </row>
    <row r="355" spans="1:9">
      <c r="A355">
        <v>368</v>
      </c>
      <c r="B355" t="s">
        <v>9</v>
      </c>
      <c r="C355" t="s">
        <v>15</v>
      </c>
      <c r="D355" t="s">
        <v>13</v>
      </c>
      <c r="E355">
        <v>150</v>
      </c>
      <c r="F355">
        <v>2021</v>
      </c>
      <c r="G355" t="s">
        <v>14</v>
      </c>
      <c r="H355" s="10">
        <v>96958.8</v>
      </c>
      <c r="I355">
        <v>0</v>
      </c>
    </row>
    <row r="356" spans="1:9">
      <c r="A356">
        <v>369</v>
      </c>
      <c r="B356" t="s">
        <v>9</v>
      </c>
      <c r="C356" t="s">
        <v>15</v>
      </c>
      <c r="D356" t="s">
        <v>11</v>
      </c>
      <c r="E356">
        <v>200</v>
      </c>
      <c r="F356">
        <v>2021</v>
      </c>
      <c r="G356" t="s">
        <v>12</v>
      </c>
      <c r="H356" s="10">
        <v>126607.2</v>
      </c>
      <c r="I356">
        <v>0</v>
      </c>
    </row>
    <row r="357" spans="1:9">
      <c r="A357">
        <v>371</v>
      </c>
      <c r="B357" t="s">
        <v>16</v>
      </c>
      <c r="C357" t="s">
        <v>23</v>
      </c>
      <c r="D357" t="s">
        <v>13</v>
      </c>
      <c r="E357">
        <v>135</v>
      </c>
      <c r="F357">
        <v>2021</v>
      </c>
      <c r="G357" t="s">
        <v>18</v>
      </c>
      <c r="H357" s="1">
        <v>35968.799999999901</v>
      </c>
      <c r="I357">
        <v>0</v>
      </c>
    </row>
    <row r="358" spans="1:9">
      <c r="A358">
        <v>379</v>
      </c>
      <c r="B358" t="s">
        <v>9</v>
      </c>
      <c r="C358" t="s">
        <v>15</v>
      </c>
      <c r="D358" t="s">
        <v>11</v>
      </c>
      <c r="E358">
        <v>100</v>
      </c>
      <c r="F358">
        <v>2021</v>
      </c>
      <c r="G358" t="s">
        <v>14</v>
      </c>
      <c r="H358" s="10">
        <v>104562</v>
      </c>
      <c r="I358">
        <v>0</v>
      </c>
    </row>
    <row r="359" spans="1:9">
      <c r="A359">
        <v>384</v>
      </c>
      <c r="B359" t="s">
        <v>9</v>
      </c>
      <c r="C359" t="s">
        <v>10</v>
      </c>
      <c r="D359" t="s">
        <v>13</v>
      </c>
      <c r="E359">
        <v>160</v>
      </c>
      <c r="F359">
        <v>2021</v>
      </c>
      <c r="G359" t="s">
        <v>12</v>
      </c>
      <c r="H359" s="10">
        <v>98467.199999999997</v>
      </c>
      <c r="I359">
        <v>0</v>
      </c>
    </row>
    <row r="360" spans="1:9">
      <c r="A360">
        <v>393</v>
      </c>
      <c r="B360" t="s">
        <v>20</v>
      </c>
      <c r="C360" t="s">
        <v>19</v>
      </c>
      <c r="D360" t="s">
        <v>13</v>
      </c>
      <c r="E360">
        <v>195</v>
      </c>
      <c r="F360">
        <v>2021</v>
      </c>
      <c r="G360" t="s">
        <v>18</v>
      </c>
      <c r="H360" s="10">
        <v>108532.8</v>
      </c>
      <c r="I360">
        <v>0</v>
      </c>
    </row>
    <row r="361" spans="1:9">
      <c r="A361">
        <v>395</v>
      </c>
      <c r="B361" t="s">
        <v>16</v>
      </c>
      <c r="C361" t="s">
        <v>19</v>
      </c>
      <c r="D361" t="s">
        <v>13</v>
      </c>
      <c r="E361">
        <v>235</v>
      </c>
      <c r="F361">
        <v>2021</v>
      </c>
      <c r="G361" t="s">
        <v>22</v>
      </c>
      <c r="H361" s="10">
        <v>45291.6</v>
      </c>
      <c r="I361">
        <v>0</v>
      </c>
    </row>
    <row r="362" spans="1:9">
      <c r="A362">
        <v>400</v>
      </c>
      <c r="B362" t="s">
        <v>9</v>
      </c>
      <c r="C362" t="s">
        <v>17</v>
      </c>
      <c r="D362" t="s">
        <v>11</v>
      </c>
      <c r="E362">
        <v>230</v>
      </c>
      <c r="F362">
        <v>2021</v>
      </c>
      <c r="G362" t="s">
        <v>14</v>
      </c>
      <c r="H362" s="10">
        <v>104485.2</v>
      </c>
      <c r="I362">
        <v>0</v>
      </c>
    </row>
    <row r="363" spans="1:9">
      <c r="A363">
        <v>403</v>
      </c>
      <c r="B363" t="s">
        <v>20</v>
      </c>
      <c r="C363" t="s">
        <v>10</v>
      </c>
      <c r="D363" t="s">
        <v>11</v>
      </c>
      <c r="E363">
        <v>175</v>
      </c>
      <c r="F363">
        <v>2021</v>
      </c>
      <c r="G363" t="s">
        <v>14</v>
      </c>
      <c r="H363" s="10">
        <v>104416.8</v>
      </c>
      <c r="I363">
        <v>0</v>
      </c>
    </row>
    <row r="364" spans="1:9">
      <c r="A364">
        <v>404</v>
      </c>
      <c r="B364" t="s">
        <v>16</v>
      </c>
      <c r="C364" t="s">
        <v>19</v>
      </c>
      <c r="D364" t="s">
        <v>11</v>
      </c>
      <c r="E364">
        <v>210</v>
      </c>
      <c r="F364">
        <v>2021</v>
      </c>
      <c r="G364" t="s">
        <v>22</v>
      </c>
      <c r="H364" s="10">
        <v>24715.200000000001</v>
      </c>
      <c r="I364">
        <v>0</v>
      </c>
    </row>
    <row r="365" spans="1:9">
      <c r="A365">
        <v>421</v>
      </c>
      <c r="B365" t="s">
        <v>20</v>
      </c>
      <c r="C365" t="s">
        <v>15</v>
      </c>
      <c r="D365" t="s">
        <v>13</v>
      </c>
      <c r="E365">
        <v>120</v>
      </c>
      <c r="F365">
        <v>2022</v>
      </c>
      <c r="G365" t="s">
        <v>18</v>
      </c>
      <c r="H365" s="10">
        <v>118322.31</v>
      </c>
      <c r="I365">
        <v>0</v>
      </c>
    </row>
    <row r="366" spans="1:9">
      <c r="A366">
        <v>432</v>
      </c>
      <c r="B366" t="s">
        <v>16</v>
      </c>
      <c r="C366" t="s">
        <v>15</v>
      </c>
      <c r="D366" t="s">
        <v>13</v>
      </c>
      <c r="E366">
        <v>110</v>
      </c>
      <c r="F366">
        <v>2022</v>
      </c>
      <c r="G366" t="s">
        <v>18</v>
      </c>
      <c r="H366" s="10">
        <v>41217.300000000003</v>
      </c>
      <c r="I366">
        <v>0</v>
      </c>
    </row>
    <row r="367" spans="1:9">
      <c r="A367">
        <v>434</v>
      </c>
      <c r="B367" t="s">
        <v>9</v>
      </c>
      <c r="C367" t="s">
        <v>15</v>
      </c>
      <c r="D367" t="s">
        <v>13</v>
      </c>
      <c r="E367">
        <v>120</v>
      </c>
      <c r="F367">
        <v>2022</v>
      </c>
      <c r="G367" t="s">
        <v>14</v>
      </c>
      <c r="H367" s="1">
        <v>104253.569999999</v>
      </c>
      <c r="I367">
        <v>0</v>
      </c>
    </row>
    <row r="368" spans="1:9">
      <c r="A368">
        <v>438</v>
      </c>
      <c r="B368" t="s">
        <v>9</v>
      </c>
      <c r="C368" t="s">
        <v>15</v>
      </c>
      <c r="D368" t="s">
        <v>11</v>
      </c>
      <c r="E368">
        <v>240</v>
      </c>
      <c r="F368">
        <v>2022</v>
      </c>
      <c r="G368" t="s">
        <v>12</v>
      </c>
      <c r="H368" s="10">
        <v>108171.12</v>
      </c>
      <c r="I368">
        <v>0</v>
      </c>
    </row>
    <row r="369" spans="1:9">
      <c r="A369">
        <v>457</v>
      </c>
      <c r="B369" t="s">
        <v>9</v>
      </c>
      <c r="C369" t="s">
        <v>19</v>
      </c>
      <c r="D369" t="s">
        <v>13</v>
      </c>
      <c r="E369">
        <v>210</v>
      </c>
      <c r="F369">
        <v>2022</v>
      </c>
      <c r="G369" t="s">
        <v>12</v>
      </c>
      <c r="H369" s="10">
        <v>131089.71</v>
      </c>
      <c r="I369">
        <v>0</v>
      </c>
    </row>
    <row r="370" spans="1:9">
      <c r="A370">
        <v>459</v>
      </c>
      <c r="B370" t="s">
        <v>9</v>
      </c>
      <c r="C370" t="s">
        <v>19</v>
      </c>
      <c r="D370" t="s">
        <v>11</v>
      </c>
      <c r="E370">
        <v>110</v>
      </c>
      <c r="F370">
        <v>2022</v>
      </c>
      <c r="G370" t="s">
        <v>18</v>
      </c>
      <c r="H370" s="10">
        <v>132718.23000000001</v>
      </c>
      <c r="I370">
        <v>0</v>
      </c>
    </row>
    <row r="371" spans="1:9">
      <c r="A371">
        <v>487</v>
      </c>
      <c r="B371" t="s">
        <v>9</v>
      </c>
      <c r="C371" t="s">
        <v>15</v>
      </c>
      <c r="D371" t="s">
        <v>11</v>
      </c>
      <c r="E371">
        <v>135</v>
      </c>
      <c r="F371">
        <v>2022</v>
      </c>
      <c r="G371" t="s">
        <v>12</v>
      </c>
      <c r="H371" s="10">
        <v>133226.25</v>
      </c>
      <c r="I371">
        <v>0</v>
      </c>
    </row>
    <row r="372" spans="1:9">
      <c r="A372">
        <v>3</v>
      </c>
      <c r="B372" t="s">
        <v>9</v>
      </c>
      <c r="C372" t="s">
        <v>15</v>
      </c>
      <c r="D372" t="s">
        <v>13</v>
      </c>
      <c r="E372">
        <v>110</v>
      </c>
      <c r="F372">
        <v>2017</v>
      </c>
      <c r="G372" t="s">
        <v>14</v>
      </c>
      <c r="H372" s="10">
        <v>104673</v>
      </c>
      <c r="I372">
        <v>0</v>
      </c>
    </row>
    <row r="373" spans="1:9">
      <c r="A373">
        <v>10</v>
      </c>
      <c r="B373" t="s">
        <v>9</v>
      </c>
      <c r="C373" t="s">
        <v>19</v>
      </c>
      <c r="D373" t="s">
        <v>11</v>
      </c>
      <c r="E373">
        <v>140</v>
      </c>
      <c r="F373">
        <v>2017</v>
      </c>
      <c r="G373" t="s">
        <v>22</v>
      </c>
      <c r="H373" s="10">
        <v>96442</v>
      </c>
      <c r="I373">
        <v>0</v>
      </c>
    </row>
    <row r="374" spans="1:9">
      <c r="A374">
        <v>35</v>
      </c>
      <c r="B374" t="s">
        <v>9</v>
      </c>
      <c r="C374" t="s">
        <v>23</v>
      </c>
      <c r="D374" t="s">
        <v>11</v>
      </c>
      <c r="E374">
        <v>145</v>
      </c>
      <c r="F374">
        <v>2017</v>
      </c>
      <c r="G374" t="s">
        <v>22</v>
      </c>
      <c r="H374" s="10">
        <v>90675</v>
      </c>
      <c r="I374">
        <v>0</v>
      </c>
    </row>
    <row r="375" spans="1:9">
      <c r="A375">
        <v>46</v>
      </c>
      <c r="B375" t="s">
        <v>16</v>
      </c>
      <c r="C375" t="s">
        <v>17</v>
      </c>
      <c r="D375" t="s">
        <v>11</v>
      </c>
      <c r="E375">
        <v>195</v>
      </c>
      <c r="F375">
        <v>2018</v>
      </c>
      <c r="G375" t="s">
        <v>14</v>
      </c>
      <c r="H375" s="10">
        <v>23549.4</v>
      </c>
      <c r="I375">
        <v>0</v>
      </c>
    </row>
    <row r="376" spans="1:9">
      <c r="A376">
        <v>65</v>
      </c>
      <c r="B376" t="s">
        <v>9</v>
      </c>
      <c r="C376" t="s">
        <v>17</v>
      </c>
      <c r="D376" t="s">
        <v>13</v>
      </c>
      <c r="E376">
        <v>155</v>
      </c>
      <c r="F376">
        <v>2018</v>
      </c>
      <c r="G376" t="s">
        <v>14</v>
      </c>
      <c r="H376" s="1">
        <v>107742.12</v>
      </c>
      <c r="I376">
        <v>0</v>
      </c>
    </row>
    <row r="377" spans="1:9">
      <c r="A377">
        <v>75</v>
      </c>
      <c r="B377" t="s">
        <v>20</v>
      </c>
      <c r="C377" t="s">
        <v>10</v>
      </c>
      <c r="D377" t="s">
        <v>11</v>
      </c>
      <c r="E377">
        <v>130</v>
      </c>
      <c r="F377">
        <v>2018</v>
      </c>
      <c r="G377" t="s">
        <v>12</v>
      </c>
      <c r="H377" s="10">
        <v>95874.46</v>
      </c>
      <c r="I377">
        <v>0</v>
      </c>
    </row>
    <row r="378" spans="1:9">
      <c r="A378">
        <v>80</v>
      </c>
      <c r="B378" t="s">
        <v>16</v>
      </c>
      <c r="C378" t="s">
        <v>19</v>
      </c>
      <c r="D378" t="s">
        <v>11</v>
      </c>
      <c r="E378">
        <v>170</v>
      </c>
      <c r="F378">
        <v>2018</v>
      </c>
      <c r="G378" t="s">
        <v>12</v>
      </c>
      <c r="H378" s="10">
        <v>40431.300000000003</v>
      </c>
      <c r="I378">
        <v>0</v>
      </c>
    </row>
    <row r="379" spans="1:9">
      <c r="A379">
        <v>83</v>
      </c>
      <c r="B379" t="s">
        <v>16</v>
      </c>
      <c r="C379" t="s">
        <v>23</v>
      </c>
      <c r="D379" t="s">
        <v>11</v>
      </c>
      <c r="E379">
        <v>120</v>
      </c>
      <c r="F379">
        <v>2018</v>
      </c>
      <c r="G379" t="s">
        <v>18</v>
      </c>
      <c r="H379" s="10">
        <v>24696.31</v>
      </c>
      <c r="I379">
        <v>0</v>
      </c>
    </row>
    <row r="380" spans="1:9">
      <c r="A380">
        <v>114</v>
      </c>
      <c r="B380" t="s">
        <v>9</v>
      </c>
      <c r="C380" t="s">
        <v>23</v>
      </c>
      <c r="D380" t="s">
        <v>13</v>
      </c>
      <c r="E380">
        <v>185</v>
      </c>
      <c r="F380">
        <v>2018</v>
      </c>
      <c r="G380" t="s">
        <v>22</v>
      </c>
      <c r="H380" s="10">
        <v>101104.8</v>
      </c>
      <c r="I380">
        <v>0</v>
      </c>
    </row>
    <row r="381" spans="1:9">
      <c r="A381">
        <v>117</v>
      </c>
      <c r="B381" t="s">
        <v>16</v>
      </c>
      <c r="C381" t="s">
        <v>19</v>
      </c>
      <c r="D381" t="s">
        <v>11</v>
      </c>
      <c r="E381">
        <v>210</v>
      </c>
      <c r="F381">
        <v>2018</v>
      </c>
      <c r="G381" t="s">
        <v>18</v>
      </c>
      <c r="H381" s="10">
        <v>35308.35</v>
      </c>
      <c r="I381">
        <v>0</v>
      </c>
    </row>
    <row r="382" spans="1:9">
      <c r="A382">
        <v>119</v>
      </c>
      <c r="B382" t="s">
        <v>16</v>
      </c>
      <c r="C382" t="s">
        <v>10</v>
      </c>
      <c r="D382" t="s">
        <v>11</v>
      </c>
      <c r="E382">
        <v>155</v>
      </c>
      <c r="F382">
        <v>2018</v>
      </c>
      <c r="G382" t="s">
        <v>12</v>
      </c>
      <c r="H382" s="10">
        <v>37741.599999999999</v>
      </c>
      <c r="I382">
        <v>0</v>
      </c>
    </row>
    <row r="383" spans="1:9">
      <c r="A383">
        <v>120</v>
      </c>
      <c r="B383" t="s">
        <v>16</v>
      </c>
      <c r="C383" t="s">
        <v>17</v>
      </c>
      <c r="D383" t="s">
        <v>11</v>
      </c>
      <c r="E383">
        <v>100</v>
      </c>
      <c r="F383">
        <v>2018</v>
      </c>
      <c r="G383" t="s">
        <v>12</v>
      </c>
      <c r="H383" s="10">
        <v>37476.6</v>
      </c>
      <c r="I383">
        <v>0</v>
      </c>
    </row>
    <row r="384" spans="1:9">
      <c r="A384">
        <v>125</v>
      </c>
      <c r="B384" t="s">
        <v>9</v>
      </c>
      <c r="C384" t="s">
        <v>15</v>
      </c>
      <c r="D384" t="s">
        <v>11</v>
      </c>
      <c r="E384">
        <v>165</v>
      </c>
      <c r="F384">
        <v>2019</v>
      </c>
      <c r="G384" t="s">
        <v>12</v>
      </c>
      <c r="H384" s="10">
        <v>91581.88</v>
      </c>
      <c r="I384">
        <v>0</v>
      </c>
    </row>
    <row r="385" spans="1:9">
      <c r="A385">
        <v>135</v>
      </c>
      <c r="B385" t="s">
        <v>16</v>
      </c>
      <c r="C385" t="s">
        <v>23</v>
      </c>
      <c r="D385" t="s">
        <v>11</v>
      </c>
      <c r="E385">
        <v>200</v>
      </c>
      <c r="F385">
        <v>2019</v>
      </c>
      <c r="G385" t="s">
        <v>18</v>
      </c>
      <c r="H385" s="10">
        <v>42961.32</v>
      </c>
      <c r="I385">
        <v>0</v>
      </c>
    </row>
    <row r="386" spans="1:9">
      <c r="A386">
        <v>139</v>
      </c>
      <c r="B386" t="s">
        <v>20</v>
      </c>
      <c r="C386" t="s">
        <v>23</v>
      </c>
      <c r="D386" t="s">
        <v>11</v>
      </c>
      <c r="E386">
        <v>155</v>
      </c>
      <c r="F386">
        <v>2019</v>
      </c>
      <c r="G386" t="s">
        <v>22</v>
      </c>
      <c r="H386" s="10">
        <v>85658.6</v>
      </c>
      <c r="I386">
        <v>0</v>
      </c>
    </row>
    <row r="387" spans="1:9">
      <c r="A387">
        <v>143</v>
      </c>
      <c r="B387" t="s">
        <v>16</v>
      </c>
      <c r="C387" t="s">
        <v>17</v>
      </c>
      <c r="D387" t="s">
        <v>13</v>
      </c>
      <c r="E387">
        <v>160</v>
      </c>
      <c r="F387">
        <v>2019</v>
      </c>
      <c r="G387" t="s">
        <v>12</v>
      </c>
      <c r="H387" s="10">
        <v>40195.440000000002</v>
      </c>
      <c r="I387">
        <v>0</v>
      </c>
    </row>
    <row r="388" spans="1:9">
      <c r="A388">
        <v>153</v>
      </c>
      <c r="B388" t="s">
        <v>16</v>
      </c>
      <c r="C388" t="s">
        <v>19</v>
      </c>
      <c r="D388" t="s">
        <v>11</v>
      </c>
      <c r="E388">
        <v>105</v>
      </c>
      <c r="F388">
        <v>2019</v>
      </c>
      <c r="G388" t="s">
        <v>22</v>
      </c>
      <c r="H388" s="1">
        <v>21612.959999999999</v>
      </c>
      <c r="I388">
        <v>0</v>
      </c>
    </row>
    <row r="389" spans="1:9">
      <c r="A389">
        <v>174</v>
      </c>
      <c r="B389" t="s">
        <v>9</v>
      </c>
      <c r="C389" t="s">
        <v>10</v>
      </c>
      <c r="D389" t="s">
        <v>13</v>
      </c>
      <c r="E389">
        <v>160</v>
      </c>
      <c r="F389">
        <v>2019</v>
      </c>
      <c r="G389" t="s">
        <v>22</v>
      </c>
      <c r="H389" s="1">
        <v>116846.28</v>
      </c>
      <c r="I389">
        <v>0</v>
      </c>
    </row>
    <row r="390" spans="1:9">
      <c r="A390">
        <v>176</v>
      </c>
      <c r="B390" t="s">
        <v>9</v>
      </c>
      <c r="C390" t="s">
        <v>10</v>
      </c>
      <c r="D390" t="s">
        <v>11</v>
      </c>
      <c r="E390">
        <v>210</v>
      </c>
      <c r="F390">
        <v>2019</v>
      </c>
      <c r="G390" t="s">
        <v>22</v>
      </c>
      <c r="H390" s="1">
        <v>95966.04</v>
      </c>
      <c r="I390">
        <v>0</v>
      </c>
    </row>
    <row r="391" spans="1:9">
      <c r="A391">
        <v>181</v>
      </c>
      <c r="B391" t="s">
        <v>9</v>
      </c>
      <c r="C391" t="s">
        <v>19</v>
      </c>
      <c r="D391" t="s">
        <v>11</v>
      </c>
      <c r="E391">
        <v>180</v>
      </c>
      <c r="F391">
        <v>2019</v>
      </c>
      <c r="G391" t="s">
        <v>12</v>
      </c>
      <c r="H391" s="1">
        <v>109395.18</v>
      </c>
      <c r="I391">
        <v>0</v>
      </c>
    </row>
    <row r="392" spans="1:9">
      <c r="A392">
        <v>183</v>
      </c>
      <c r="B392" t="s">
        <v>16</v>
      </c>
      <c r="C392" t="s">
        <v>15</v>
      </c>
      <c r="D392" t="s">
        <v>13</v>
      </c>
      <c r="E392">
        <v>195</v>
      </c>
      <c r="F392">
        <v>2019</v>
      </c>
      <c r="G392" t="s">
        <v>22</v>
      </c>
      <c r="H392" s="10">
        <v>34563.42</v>
      </c>
      <c r="I392">
        <v>0</v>
      </c>
    </row>
    <row r="393" spans="1:9">
      <c r="A393">
        <v>185</v>
      </c>
      <c r="B393" t="s">
        <v>16</v>
      </c>
      <c r="C393" t="s">
        <v>23</v>
      </c>
      <c r="D393" t="s">
        <v>11</v>
      </c>
      <c r="E393">
        <v>110</v>
      </c>
      <c r="F393">
        <v>2019</v>
      </c>
      <c r="G393" t="s">
        <v>18</v>
      </c>
      <c r="H393" s="10">
        <v>30366.880000000001</v>
      </c>
      <c r="I393">
        <v>0</v>
      </c>
    </row>
    <row r="394" spans="1:9">
      <c r="A394">
        <v>186</v>
      </c>
      <c r="B394" t="s">
        <v>16</v>
      </c>
      <c r="C394" t="s">
        <v>17</v>
      </c>
      <c r="D394" t="s">
        <v>13</v>
      </c>
      <c r="E394">
        <v>130</v>
      </c>
      <c r="F394">
        <v>2019</v>
      </c>
      <c r="G394" t="s">
        <v>22</v>
      </c>
      <c r="H394" s="10">
        <v>42161.04</v>
      </c>
      <c r="I394">
        <v>0</v>
      </c>
    </row>
    <row r="395" spans="1:9">
      <c r="A395">
        <v>189</v>
      </c>
      <c r="B395" t="s">
        <v>9</v>
      </c>
      <c r="C395" t="s">
        <v>15</v>
      </c>
      <c r="D395" t="s">
        <v>13</v>
      </c>
      <c r="E395">
        <v>135</v>
      </c>
      <c r="F395">
        <v>2019</v>
      </c>
      <c r="G395" t="s">
        <v>18</v>
      </c>
      <c r="H395" s="1">
        <v>112124.68</v>
      </c>
      <c r="I395">
        <v>0</v>
      </c>
    </row>
    <row r="396" spans="1:9">
      <c r="A396">
        <v>193</v>
      </c>
      <c r="B396" t="s">
        <v>16</v>
      </c>
      <c r="C396" t="s">
        <v>17</v>
      </c>
      <c r="D396" t="s">
        <v>11</v>
      </c>
      <c r="E396">
        <v>155</v>
      </c>
      <c r="F396">
        <v>2019</v>
      </c>
      <c r="G396" t="s">
        <v>22</v>
      </c>
      <c r="H396" s="10">
        <v>29115.02</v>
      </c>
      <c r="I396">
        <v>0</v>
      </c>
    </row>
    <row r="397" spans="1:9">
      <c r="A397">
        <v>196</v>
      </c>
      <c r="B397" t="s">
        <v>20</v>
      </c>
      <c r="C397" t="s">
        <v>15</v>
      </c>
      <c r="D397" t="s">
        <v>21</v>
      </c>
      <c r="E397">
        <v>165</v>
      </c>
      <c r="F397">
        <v>2019</v>
      </c>
      <c r="G397" t="s">
        <v>22</v>
      </c>
      <c r="H397" s="10">
        <v>106497.14</v>
      </c>
      <c r="I397">
        <v>0</v>
      </c>
    </row>
    <row r="398" spans="1:9">
      <c r="A398">
        <v>197</v>
      </c>
      <c r="B398" t="s">
        <v>9</v>
      </c>
      <c r="C398" t="s">
        <v>15</v>
      </c>
      <c r="D398" t="s">
        <v>11</v>
      </c>
      <c r="E398">
        <v>95</v>
      </c>
      <c r="F398">
        <v>2019</v>
      </c>
      <c r="G398" t="s">
        <v>12</v>
      </c>
      <c r="H398" s="10">
        <v>115262.28</v>
      </c>
      <c r="I398">
        <v>0</v>
      </c>
    </row>
    <row r="399" spans="1:9">
      <c r="A399">
        <v>215</v>
      </c>
      <c r="B399" t="s">
        <v>9</v>
      </c>
      <c r="C399" t="s">
        <v>10</v>
      </c>
      <c r="D399" t="s">
        <v>13</v>
      </c>
      <c r="E399">
        <v>235</v>
      </c>
      <c r="F399">
        <v>2019</v>
      </c>
      <c r="G399" t="s">
        <v>14</v>
      </c>
      <c r="H399" s="10">
        <v>103862.52</v>
      </c>
      <c r="I399">
        <v>0</v>
      </c>
    </row>
    <row r="400" spans="1:9">
      <c r="A400">
        <v>223</v>
      </c>
      <c r="B400" t="s">
        <v>16</v>
      </c>
      <c r="C400" t="s">
        <v>10</v>
      </c>
      <c r="D400" t="s">
        <v>13</v>
      </c>
      <c r="E400">
        <v>170</v>
      </c>
      <c r="F400">
        <v>2019</v>
      </c>
      <c r="G400" t="s">
        <v>14</v>
      </c>
      <c r="H400" s="1">
        <v>22600.6</v>
      </c>
      <c r="I400">
        <v>0</v>
      </c>
    </row>
    <row r="401" spans="1:9">
      <c r="A401">
        <v>239</v>
      </c>
      <c r="B401" t="s">
        <v>20</v>
      </c>
      <c r="C401" t="s">
        <v>15</v>
      </c>
      <c r="D401" t="s">
        <v>11</v>
      </c>
      <c r="E401">
        <v>110</v>
      </c>
      <c r="F401">
        <v>2019</v>
      </c>
      <c r="G401" t="s">
        <v>18</v>
      </c>
      <c r="H401" s="10">
        <v>90693</v>
      </c>
      <c r="I401">
        <v>0</v>
      </c>
    </row>
    <row r="402" spans="1:9">
      <c r="A402">
        <v>248</v>
      </c>
      <c r="B402" t="s">
        <v>16</v>
      </c>
      <c r="C402" t="s">
        <v>19</v>
      </c>
      <c r="D402" t="s">
        <v>13</v>
      </c>
      <c r="E402">
        <v>160</v>
      </c>
      <c r="F402">
        <v>2019</v>
      </c>
      <c r="G402" t="s">
        <v>22</v>
      </c>
      <c r="H402" s="10">
        <v>38049.480000000003</v>
      </c>
      <c r="I402">
        <v>0</v>
      </c>
    </row>
    <row r="403" spans="1:9">
      <c r="A403">
        <v>254</v>
      </c>
      <c r="B403" t="s">
        <v>16</v>
      </c>
      <c r="C403" t="s">
        <v>23</v>
      </c>
      <c r="D403" t="s">
        <v>11</v>
      </c>
      <c r="E403">
        <v>105</v>
      </c>
      <c r="F403">
        <v>2019</v>
      </c>
      <c r="G403" t="s">
        <v>14</v>
      </c>
      <c r="H403" s="10">
        <v>29835.82</v>
      </c>
      <c r="I403">
        <v>0</v>
      </c>
    </row>
    <row r="404" spans="1:9">
      <c r="A404">
        <v>256</v>
      </c>
      <c r="B404" t="s">
        <v>16</v>
      </c>
      <c r="C404" t="s">
        <v>17</v>
      </c>
      <c r="D404" t="s">
        <v>11</v>
      </c>
      <c r="E404">
        <v>115</v>
      </c>
      <c r="F404">
        <v>2020</v>
      </c>
      <c r="G404" t="s">
        <v>12</v>
      </c>
      <c r="H404" s="10">
        <v>30325</v>
      </c>
      <c r="I404">
        <v>0</v>
      </c>
    </row>
    <row r="405" spans="1:9">
      <c r="A405">
        <v>268</v>
      </c>
      <c r="B405" t="s">
        <v>9</v>
      </c>
      <c r="C405" t="s">
        <v>17</v>
      </c>
      <c r="D405" t="s">
        <v>11</v>
      </c>
      <c r="E405">
        <v>225</v>
      </c>
      <c r="F405">
        <v>2020</v>
      </c>
      <c r="G405" t="s">
        <v>14</v>
      </c>
      <c r="H405" s="10">
        <v>115236.25</v>
      </c>
      <c r="I405">
        <v>0</v>
      </c>
    </row>
    <row r="406" spans="1:9">
      <c r="A406">
        <v>274</v>
      </c>
      <c r="B406" t="s">
        <v>9</v>
      </c>
      <c r="C406" t="s">
        <v>10</v>
      </c>
      <c r="D406" t="s">
        <v>11</v>
      </c>
      <c r="E406">
        <v>105</v>
      </c>
      <c r="F406">
        <v>2020</v>
      </c>
      <c r="G406" t="s">
        <v>22</v>
      </c>
      <c r="H406" s="10">
        <v>104562.5</v>
      </c>
      <c r="I406">
        <v>0</v>
      </c>
    </row>
    <row r="407" spans="1:9">
      <c r="A407">
        <v>291</v>
      </c>
      <c r="B407" t="s">
        <v>20</v>
      </c>
      <c r="C407" t="s">
        <v>15</v>
      </c>
      <c r="D407" t="s">
        <v>11</v>
      </c>
      <c r="E407">
        <v>165</v>
      </c>
      <c r="F407">
        <v>2021</v>
      </c>
      <c r="G407" t="s">
        <v>18</v>
      </c>
      <c r="H407" s="10">
        <v>129960</v>
      </c>
      <c r="I407">
        <v>0</v>
      </c>
    </row>
    <row r="408" spans="1:9">
      <c r="A408">
        <v>320</v>
      </c>
      <c r="B408" t="s">
        <v>9</v>
      </c>
      <c r="C408" t="s">
        <v>10</v>
      </c>
      <c r="D408" t="s">
        <v>13</v>
      </c>
      <c r="E408">
        <v>90</v>
      </c>
      <c r="F408">
        <v>2021</v>
      </c>
      <c r="G408" t="s">
        <v>14</v>
      </c>
      <c r="H408" s="10">
        <v>102979.2</v>
      </c>
      <c r="I408">
        <v>0</v>
      </c>
    </row>
    <row r="409" spans="1:9">
      <c r="A409">
        <v>341</v>
      </c>
      <c r="B409" t="s">
        <v>9</v>
      </c>
      <c r="C409" t="s">
        <v>15</v>
      </c>
      <c r="D409" t="s">
        <v>11</v>
      </c>
      <c r="E409">
        <v>190</v>
      </c>
      <c r="F409">
        <v>2021</v>
      </c>
      <c r="G409" t="s">
        <v>18</v>
      </c>
      <c r="H409" s="1">
        <v>120495.599999999</v>
      </c>
      <c r="I409">
        <v>0</v>
      </c>
    </row>
    <row r="410" spans="1:9">
      <c r="A410">
        <v>344</v>
      </c>
      <c r="B410" t="s">
        <v>16</v>
      </c>
      <c r="C410" t="s">
        <v>19</v>
      </c>
      <c r="D410" t="s">
        <v>11</v>
      </c>
      <c r="E410">
        <v>130</v>
      </c>
      <c r="F410">
        <v>2021</v>
      </c>
      <c r="G410" t="s">
        <v>14</v>
      </c>
      <c r="H410" s="10">
        <v>35658</v>
      </c>
      <c r="I410">
        <v>0</v>
      </c>
    </row>
    <row r="411" spans="1:9">
      <c r="A411">
        <v>348</v>
      </c>
      <c r="B411" t="s">
        <v>9</v>
      </c>
      <c r="C411" t="s">
        <v>15</v>
      </c>
      <c r="D411" t="s">
        <v>13</v>
      </c>
      <c r="E411">
        <v>185</v>
      </c>
      <c r="F411">
        <v>2021</v>
      </c>
      <c r="G411" t="s">
        <v>22</v>
      </c>
      <c r="H411" s="10">
        <v>123667.2</v>
      </c>
      <c r="I411">
        <v>0</v>
      </c>
    </row>
    <row r="412" spans="1:9">
      <c r="A412">
        <v>372</v>
      </c>
      <c r="B412" t="s">
        <v>20</v>
      </c>
      <c r="C412" t="s">
        <v>15</v>
      </c>
      <c r="D412" t="s">
        <v>24</v>
      </c>
      <c r="E412">
        <v>200</v>
      </c>
      <c r="F412">
        <v>2021</v>
      </c>
      <c r="G412" t="s">
        <v>14</v>
      </c>
      <c r="H412" s="10">
        <v>112762.8</v>
      </c>
      <c r="I412">
        <v>0</v>
      </c>
    </row>
    <row r="413" spans="1:9">
      <c r="A413">
        <v>378</v>
      </c>
      <c r="B413" t="s">
        <v>16</v>
      </c>
      <c r="C413" t="s">
        <v>15</v>
      </c>
      <c r="D413" t="s">
        <v>24</v>
      </c>
      <c r="E413">
        <v>135</v>
      </c>
      <c r="F413">
        <v>2021</v>
      </c>
      <c r="G413" t="s">
        <v>18</v>
      </c>
      <c r="H413" s="10">
        <v>42788.4</v>
      </c>
      <c r="I413">
        <v>0</v>
      </c>
    </row>
    <row r="414" spans="1:9">
      <c r="A414">
        <v>383</v>
      </c>
      <c r="B414" t="s">
        <v>9</v>
      </c>
      <c r="C414" t="s">
        <v>23</v>
      </c>
      <c r="D414" t="s">
        <v>13</v>
      </c>
      <c r="E414">
        <v>245</v>
      </c>
      <c r="F414">
        <v>2021</v>
      </c>
      <c r="G414" t="s">
        <v>14</v>
      </c>
      <c r="H414" s="1">
        <v>117771.599999999</v>
      </c>
      <c r="I414">
        <v>0</v>
      </c>
    </row>
    <row r="415" spans="1:9">
      <c r="A415">
        <v>391</v>
      </c>
      <c r="B415" t="s">
        <v>16</v>
      </c>
      <c r="C415" t="s">
        <v>19</v>
      </c>
      <c r="D415" t="s">
        <v>13</v>
      </c>
      <c r="E415">
        <v>120</v>
      </c>
      <c r="F415">
        <v>2021</v>
      </c>
      <c r="G415" t="s">
        <v>12</v>
      </c>
      <c r="H415" s="10">
        <v>29400</v>
      </c>
      <c r="I415">
        <v>0</v>
      </c>
    </row>
    <row r="416" spans="1:9">
      <c r="A416">
        <v>406</v>
      </c>
      <c r="B416" t="s">
        <v>9</v>
      </c>
      <c r="C416" t="s">
        <v>19</v>
      </c>
      <c r="D416" t="s">
        <v>11</v>
      </c>
      <c r="E416">
        <v>195</v>
      </c>
      <c r="F416">
        <v>2022</v>
      </c>
      <c r="G416" t="s">
        <v>14</v>
      </c>
      <c r="H416" s="10">
        <v>124720.77</v>
      </c>
      <c r="I416">
        <v>0</v>
      </c>
    </row>
    <row r="417" spans="1:9">
      <c r="A417">
        <v>428</v>
      </c>
      <c r="B417" t="s">
        <v>16</v>
      </c>
      <c r="C417" t="s">
        <v>15</v>
      </c>
      <c r="D417" t="s">
        <v>11</v>
      </c>
      <c r="E417">
        <v>195</v>
      </c>
      <c r="F417">
        <v>2022</v>
      </c>
      <c r="G417" t="s">
        <v>18</v>
      </c>
      <c r="H417" s="10">
        <v>41653.949999999997</v>
      </c>
      <c r="I417">
        <v>0</v>
      </c>
    </row>
    <row r="418" spans="1:9">
      <c r="A418">
        <v>440</v>
      </c>
      <c r="B418" t="s">
        <v>9</v>
      </c>
      <c r="C418" t="s">
        <v>17</v>
      </c>
      <c r="D418" t="s">
        <v>13</v>
      </c>
      <c r="E418">
        <v>90</v>
      </c>
      <c r="F418">
        <v>2022</v>
      </c>
      <c r="G418" t="s">
        <v>12</v>
      </c>
      <c r="H418" s="10">
        <v>129393.54</v>
      </c>
      <c r="I418">
        <v>0</v>
      </c>
    </row>
    <row r="419" spans="1:9">
      <c r="A419">
        <v>445</v>
      </c>
      <c r="B419" t="s">
        <v>16</v>
      </c>
      <c r="C419" t="s">
        <v>23</v>
      </c>
      <c r="D419" t="s">
        <v>11</v>
      </c>
      <c r="E419">
        <v>210</v>
      </c>
      <c r="F419">
        <v>2022</v>
      </c>
      <c r="G419" t="s">
        <v>22</v>
      </c>
      <c r="H419" s="10">
        <v>32845.919999999998</v>
      </c>
      <c r="I419">
        <v>0</v>
      </c>
    </row>
    <row r="420" spans="1:9">
      <c r="A420">
        <v>453</v>
      </c>
      <c r="B420" t="s">
        <v>9</v>
      </c>
      <c r="C420" t="s">
        <v>15</v>
      </c>
      <c r="D420" t="s">
        <v>11</v>
      </c>
      <c r="E420">
        <v>135</v>
      </c>
      <c r="F420">
        <v>2022</v>
      </c>
      <c r="G420" t="s">
        <v>14</v>
      </c>
      <c r="H420" s="10">
        <v>110011.2</v>
      </c>
      <c r="I420">
        <v>0</v>
      </c>
    </row>
    <row r="421" spans="1:9">
      <c r="A421">
        <v>456</v>
      </c>
      <c r="B421" t="s">
        <v>9</v>
      </c>
      <c r="C421" t="s">
        <v>23</v>
      </c>
      <c r="D421" t="s">
        <v>13</v>
      </c>
      <c r="E421">
        <v>205</v>
      </c>
      <c r="F421">
        <v>2022</v>
      </c>
      <c r="G421" t="s">
        <v>12</v>
      </c>
      <c r="H421" s="10">
        <v>108028.44</v>
      </c>
      <c r="I421">
        <v>0</v>
      </c>
    </row>
    <row r="422" spans="1:9">
      <c r="A422">
        <v>462</v>
      </c>
      <c r="B422" t="s">
        <v>16</v>
      </c>
      <c r="C422" t="s">
        <v>17</v>
      </c>
      <c r="D422" t="s">
        <v>11</v>
      </c>
      <c r="E422">
        <v>205</v>
      </c>
      <c r="F422">
        <v>2022</v>
      </c>
      <c r="G422" t="s">
        <v>14</v>
      </c>
      <c r="H422" s="10">
        <v>38717.5</v>
      </c>
      <c r="I422">
        <v>0</v>
      </c>
    </row>
    <row r="423" spans="1:9">
      <c r="A423">
        <v>476</v>
      </c>
      <c r="B423" t="s">
        <v>9</v>
      </c>
      <c r="C423" t="s">
        <v>15</v>
      </c>
      <c r="D423" t="s">
        <v>13</v>
      </c>
      <c r="E423">
        <v>205</v>
      </c>
      <c r="F423">
        <v>2022</v>
      </c>
      <c r="G423" t="s">
        <v>12</v>
      </c>
      <c r="H423" s="10">
        <v>129618.75</v>
      </c>
      <c r="I423">
        <v>0</v>
      </c>
    </row>
    <row r="424" spans="1:9">
      <c r="A424">
        <v>479</v>
      </c>
      <c r="B424" t="s">
        <v>9</v>
      </c>
      <c r="C424" t="s">
        <v>23</v>
      </c>
      <c r="D424" t="s">
        <v>11</v>
      </c>
      <c r="E424">
        <v>115</v>
      </c>
      <c r="F424">
        <v>2022</v>
      </c>
      <c r="G424" t="s">
        <v>14</v>
      </c>
      <c r="H424" s="10">
        <v>120790</v>
      </c>
      <c r="I424">
        <v>0</v>
      </c>
    </row>
    <row r="425" spans="1:9">
      <c r="A425">
        <v>496</v>
      </c>
      <c r="B425" t="s">
        <v>9</v>
      </c>
      <c r="C425" t="s">
        <v>23</v>
      </c>
      <c r="D425" t="s">
        <v>11</v>
      </c>
      <c r="E425">
        <v>225</v>
      </c>
      <c r="F425">
        <v>2022</v>
      </c>
      <c r="G425" t="s">
        <v>14</v>
      </c>
      <c r="H425" s="10">
        <v>105875</v>
      </c>
      <c r="I425">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46576-A9E6-374D-947C-6925D065FC5A}">
  <dimension ref="A1:K425"/>
  <sheetViews>
    <sheetView workbookViewId="0">
      <selection activeCell="M419" sqref="M419"/>
    </sheetView>
  </sheetViews>
  <sheetFormatPr baseColWidth="10" defaultRowHeight="16"/>
  <cols>
    <col min="1" max="1" width="13.1640625" customWidth="1"/>
    <col min="2" max="2" width="13.6640625" customWidth="1"/>
    <col min="3" max="3" width="19.83203125" customWidth="1"/>
    <col min="4" max="4" width="16" customWidth="1"/>
    <col min="5" max="5" width="18.33203125" customWidth="1"/>
    <col min="7" max="7" width="12.33203125" customWidth="1"/>
    <col min="9" max="9" width="11.33203125" customWidth="1"/>
    <col min="10" max="10" width="20.5" customWidth="1"/>
    <col min="11" max="11" width="18.83203125" bestFit="1" customWidth="1"/>
  </cols>
  <sheetData>
    <row r="1" spans="1:11">
      <c r="A1" t="s">
        <v>37</v>
      </c>
      <c r="B1" t="s">
        <v>0</v>
      </c>
      <c r="C1" t="s">
        <v>38</v>
      </c>
      <c r="D1" t="s">
        <v>39</v>
      </c>
      <c r="E1" t="s">
        <v>1</v>
      </c>
      <c r="F1" t="s">
        <v>2</v>
      </c>
      <c r="G1" t="s">
        <v>3</v>
      </c>
      <c r="H1" t="s">
        <v>4</v>
      </c>
      <c r="I1" t="s">
        <v>5</v>
      </c>
      <c r="J1" t="s">
        <v>6</v>
      </c>
      <c r="K1" t="s">
        <v>7</v>
      </c>
    </row>
    <row r="2" spans="1:11">
      <c r="A2">
        <v>1</v>
      </c>
      <c r="B2">
        <v>405</v>
      </c>
      <c r="C2" t="s">
        <v>40</v>
      </c>
      <c r="D2">
        <v>100</v>
      </c>
      <c r="E2" t="s">
        <v>20</v>
      </c>
      <c r="F2" t="s">
        <v>23</v>
      </c>
      <c r="G2" t="s">
        <v>11</v>
      </c>
      <c r="H2">
        <v>225</v>
      </c>
      <c r="I2">
        <v>2022</v>
      </c>
      <c r="J2" t="s">
        <v>12</v>
      </c>
      <c r="K2">
        <v>129996.24</v>
      </c>
    </row>
    <row r="3" spans="1:11">
      <c r="A3">
        <v>2</v>
      </c>
      <c r="B3">
        <v>233</v>
      </c>
      <c r="C3" t="s">
        <v>40</v>
      </c>
      <c r="D3">
        <v>97</v>
      </c>
      <c r="E3" t="s">
        <v>20</v>
      </c>
      <c r="F3" t="s">
        <v>23</v>
      </c>
      <c r="G3" t="s">
        <v>11</v>
      </c>
      <c r="H3">
        <v>210</v>
      </c>
      <c r="I3">
        <v>2019</v>
      </c>
      <c r="J3" t="s">
        <v>12</v>
      </c>
      <c r="K3" s="1">
        <v>101233.18</v>
      </c>
    </row>
    <row r="4" spans="1:11">
      <c r="A4">
        <v>3</v>
      </c>
      <c r="B4">
        <v>403</v>
      </c>
      <c r="C4" t="s">
        <v>40</v>
      </c>
      <c r="D4">
        <v>97</v>
      </c>
      <c r="E4" t="s">
        <v>20</v>
      </c>
      <c r="F4" t="s">
        <v>10</v>
      </c>
      <c r="G4" t="s">
        <v>11</v>
      </c>
      <c r="H4">
        <v>175</v>
      </c>
      <c r="I4">
        <v>2021</v>
      </c>
      <c r="J4" t="s">
        <v>14</v>
      </c>
      <c r="K4">
        <v>104416.8</v>
      </c>
    </row>
    <row r="5" spans="1:11">
      <c r="A5">
        <v>4</v>
      </c>
      <c r="B5">
        <v>486</v>
      </c>
      <c r="C5" t="s">
        <v>40</v>
      </c>
      <c r="D5">
        <v>95</v>
      </c>
      <c r="E5" t="s">
        <v>20</v>
      </c>
      <c r="F5" t="s">
        <v>23</v>
      </c>
      <c r="G5" t="s">
        <v>13</v>
      </c>
      <c r="H5">
        <v>205</v>
      </c>
      <c r="I5">
        <v>2022</v>
      </c>
      <c r="J5" t="s">
        <v>22</v>
      </c>
      <c r="K5">
        <v>113963.75</v>
      </c>
    </row>
    <row r="6" spans="1:11">
      <c r="A6">
        <v>5</v>
      </c>
      <c r="B6">
        <v>190</v>
      </c>
      <c r="C6" t="s">
        <v>40</v>
      </c>
      <c r="D6">
        <v>92</v>
      </c>
      <c r="E6" t="s">
        <v>20</v>
      </c>
      <c r="F6" t="s">
        <v>23</v>
      </c>
      <c r="G6" t="s">
        <v>13</v>
      </c>
      <c r="H6">
        <v>205</v>
      </c>
      <c r="I6">
        <v>2019</v>
      </c>
      <c r="J6" t="s">
        <v>14</v>
      </c>
      <c r="K6">
        <v>87276.160000000003</v>
      </c>
    </row>
    <row r="7" spans="1:11">
      <c r="A7">
        <v>6</v>
      </c>
      <c r="B7">
        <v>130</v>
      </c>
      <c r="C7" t="s">
        <v>40</v>
      </c>
      <c r="D7">
        <v>92</v>
      </c>
      <c r="E7" t="s">
        <v>20</v>
      </c>
      <c r="F7" t="s">
        <v>19</v>
      </c>
      <c r="G7" t="s">
        <v>11</v>
      </c>
      <c r="H7">
        <v>220</v>
      </c>
      <c r="I7">
        <v>2019</v>
      </c>
      <c r="J7" t="s">
        <v>22</v>
      </c>
      <c r="K7" s="1">
        <v>95341.7</v>
      </c>
    </row>
    <row r="8" spans="1:11">
      <c r="A8">
        <v>7</v>
      </c>
      <c r="B8">
        <v>359</v>
      </c>
      <c r="C8" t="s">
        <v>40</v>
      </c>
      <c r="D8">
        <v>92</v>
      </c>
      <c r="E8" t="s">
        <v>20</v>
      </c>
      <c r="F8" t="s">
        <v>17</v>
      </c>
      <c r="G8" t="s">
        <v>11</v>
      </c>
      <c r="H8">
        <v>165</v>
      </c>
      <c r="I8">
        <v>2021</v>
      </c>
      <c r="J8" t="s">
        <v>18</v>
      </c>
      <c r="K8" s="1">
        <v>104685.599999999</v>
      </c>
    </row>
    <row r="9" spans="1:11">
      <c r="A9">
        <v>8</v>
      </c>
      <c r="B9">
        <v>236</v>
      </c>
      <c r="C9" t="s">
        <v>40</v>
      </c>
      <c r="D9">
        <v>92</v>
      </c>
      <c r="E9" t="s">
        <v>20</v>
      </c>
      <c r="F9" t="s">
        <v>19</v>
      </c>
      <c r="G9" t="s">
        <v>11</v>
      </c>
      <c r="H9">
        <v>220</v>
      </c>
      <c r="I9">
        <v>2019</v>
      </c>
      <c r="J9" t="s">
        <v>14</v>
      </c>
      <c r="K9">
        <v>107577.8</v>
      </c>
    </row>
    <row r="10" spans="1:11">
      <c r="A10">
        <v>9</v>
      </c>
      <c r="B10">
        <v>271</v>
      </c>
      <c r="C10" t="s">
        <v>40</v>
      </c>
      <c r="D10">
        <v>92</v>
      </c>
      <c r="E10" t="s">
        <v>20</v>
      </c>
      <c r="F10" t="s">
        <v>15</v>
      </c>
      <c r="G10" t="s">
        <v>11</v>
      </c>
      <c r="H10">
        <v>225</v>
      </c>
      <c r="I10">
        <v>2020</v>
      </c>
      <c r="J10" t="s">
        <v>22</v>
      </c>
      <c r="K10">
        <v>107876.25</v>
      </c>
    </row>
    <row r="11" spans="1:11">
      <c r="A11">
        <v>10</v>
      </c>
      <c r="B11">
        <v>133</v>
      </c>
      <c r="C11" t="s">
        <v>40</v>
      </c>
      <c r="D11">
        <v>92</v>
      </c>
      <c r="E11" t="s">
        <v>20</v>
      </c>
      <c r="F11" t="s">
        <v>19</v>
      </c>
      <c r="G11" t="s">
        <v>11</v>
      </c>
      <c r="H11">
        <v>215</v>
      </c>
      <c r="I11">
        <v>2019</v>
      </c>
      <c r="J11" t="s">
        <v>12</v>
      </c>
      <c r="K11">
        <v>107933.44</v>
      </c>
    </row>
    <row r="12" spans="1:11">
      <c r="A12">
        <v>11</v>
      </c>
      <c r="B12">
        <v>252</v>
      </c>
      <c r="C12" t="s">
        <v>40</v>
      </c>
      <c r="D12">
        <v>92</v>
      </c>
      <c r="E12" t="s">
        <v>20</v>
      </c>
      <c r="F12" t="s">
        <v>15</v>
      </c>
      <c r="G12" t="s">
        <v>11</v>
      </c>
      <c r="H12">
        <v>215</v>
      </c>
      <c r="I12">
        <v>2019</v>
      </c>
      <c r="J12" t="s">
        <v>22</v>
      </c>
      <c r="K12" s="1">
        <v>116251.26</v>
      </c>
    </row>
    <row r="13" spans="1:11">
      <c r="A13">
        <v>12</v>
      </c>
      <c r="B13">
        <v>500</v>
      </c>
      <c r="C13" t="s">
        <v>40</v>
      </c>
      <c r="D13">
        <v>92</v>
      </c>
      <c r="E13" t="s">
        <v>20</v>
      </c>
      <c r="F13" t="s">
        <v>15</v>
      </c>
      <c r="G13" t="s">
        <v>11</v>
      </c>
      <c r="H13">
        <v>170</v>
      </c>
      <c r="I13">
        <v>2022</v>
      </c>
      <c r="J13" t="s">
        <v>12</v>
      </c>
      <c r="K13">
        <v>121382.5</v>
      </c>
    </row>
    <row r="14" spans="1:11">
      <c r="A14">
        <v>13</v>
      </c>
      <c r="B14">
        <v>426</v>
      </c>
      <c r="C14" t="s">
        <v>40</v>
      </c>
      <c r="D14">
        <v>92</v>
      </c>
      <c r="E14" t="s">
        <v>20</v>
      </c>
      <c r="F14" t="s">
        <v>17</v>
      </c>
      <c r="G14" t="s">
        <v>11</v>
      </c>
      <c r="H14">
        <v>185</v>
      </c>
      <c r="I14">
        <v>2022</v>
      </c>
      <c r="J14" t="s">
        <v>12</v>
      </c>
      <c r="K14">
        <v>124918.8</v>
      </c>
    </row>
    <row r="15" spans="1:11">
      <c r="A15">
        <v>14</v>
      </c>
      <c r="B15">
        <v>291</v>
      </c>
      <c r="C15" t="s">
        <v>40</v>
      </c>
      <c r="D15">
        <v>92</v>
      </c>
      <c r="E15" t="s">
        <v>20</v>
      </c>
      <c r="F15" t="s">
        <v>15</v>
      </c>
      <c r="G15" t="s">
        <v>11</v>
      </c>
      <c r="H15">
        <v>165</v>
      </c>
      <c r="I15">
        <v>2021</v>
      </c>
      <c r="J15" t="s">
        <v>18</v>
      </c>
      <c r="K15">
        <v>129960</v>
      </c>
    </row>
    <row r="16" spans="1:11">
      <c r="A16">
        <v>15</v>
      </c>
      <c r="B16">
        <v>139</v>
      </c>
      <c r="C16" t="s">
        <v>40</v>
      </c>
      <c r="D16">
        <v>90</v>
      </c>
      <c r="E16" t="s">
        <v>20</v>
      </c>
      <c r="F16" t="s">
        <v>23</v>
      </c>
      <c r="G16" t="s">
        <v>11</v>
      </c>
      <c r="H16">
        <v>155</v>
      </c>
      <c r="I16">
        <v>2019</v>
      </c>
      <c r="J16" t="s">
        <v>22</v>
      </c>
      <c r="K16">
        <v>85658.6</v>
      </c>
    </row>
    <row r="17" spans="1:11">
      <c r="A17">
        <v>16</v>
      </c>
      <c r="B17">
        <v>496</v>
      </c>
      <c r="C17" t="s">
        <v>40</v>
      </c>
      <c r="D17">
        <v>90</v>
      </c>
      <c r="E17" t="s">
        <v>9</v>
      </c>
      <c r="F17" t="s">
        <v>23</v>
      </c>
      <c r="G17" t="s">
        <v>11</v>
      </c>
      <c r="H17">
        <v>225</v>
      </c>
      <c r="I17">
        <v>2022</v>
      </c>
      <c r="J17" t="s">
        <v>14</v>
      </c>
      <c r="K17">
        <v>105875</v>
      </c>
    </row>
    <row r="18" spans="1:11">
      <c r="A18">
        <v>17</v>
      </c>
      <c r="B18">
        <v>310</v>
      </c>
      <c r="C18" t="s">
        <v>40</v>
      </c>
      <c r="D18">
        <v>90</v>
      </c>
      <c r="E18" t="s">
        <v>9</v>
      </c>
      <c r="F18" t="s">
        <v>23</v>
      </c>
      <c r="G18" t="s">
        <v>11</v>
      </c>
      <c r="H18">
        <v>200</v>
      </c>
      <c r="I18">
        <v>2021</v>
      </c>
      <c r="J18" t="s">
        <v>18</v>
      </c>
      <c r="K18">
        <v>108994.8</v>
      </c>
    </row>
    <row r="19" spans="1:11">
      <c r="A19">
        <v>18</v>
      </c>
      <c r="B19">
        <v>345</v>
      </c>
      <c r="C19" t="s">
        <v>40</v>
      </c>
      <c r="D19">
        <v>90</v>
      </c>
      <c r="E19" t="s">
        <v>9</v>
      </c>
      <c r="F19" t="s">
        <v>10</v>
      </c>
      <c r="G19" t="s">
        <v>11</v>
      </c>
      <c r="H19">
        <v>225</v>
      </c>
      <c r="I19">
        <v>2021</v>
      </c>
      <c r="J19" t="s">
        <v>22</v>
      </c>
      <c r="K19">
        <v>110974.8</v>
      </c>
    </row>
    <row r="20" spans="1:11">
      <c r="A20">
        <v>19</v>
      </c>
      <c r="B20">
        <v>388</v>
      </c>
      <c r="C20" t="s">
        <v>40</v>
      </c>
      <c r="D20">
        <v>90</v>
      </c>
      <c r="E20" t="s">
        <v>9</v>
      </c>
      <c r="F20" t="s">
        <v>23</v>
      </c>
      <c r="G20" t="s">
        <v>11</v>
      </c>
      <c r="H20">
        <v>225</v>
      </c>
      <c r="I20">
        <v>2021</v>
      </c>
      <c r="J20" t="s">
        <v>18</v>
      </c>
      <c r="K20">
        <v>113912.4</v>
      </c>
    </row>
    <row r="21" spans="1:11">
      <c r="A21">
        <v>20</v>
      </c>
      <c r="B21">
        <v>425</v>
      </c>
      <c r="C21" t="s">
        <v>40</v>
      </c>
      <c r="D21">
        <v>90</v>
      </c>
      <c r="E21" t="s">
        <v>20</v>
      </c>
      <c r="F21" t="s">
        <v>15</v>
      </c>
      <c r="G21" t="s">
        <v>13</v>
      </c>
      <c r="H21">
        <v>200</v>
      </c>
      <c r="I21">
        <v>2022</v>
      </c>
      <c r="J21" t="s">
        <v>14</v>
      </c>
      <c r="K21">
        <v>123644.52</v>
      </c>
    </row>
    <row r="22" spans="1:11">
      <c r="A22">
        <v>21</v>
      </c>
      <c r="B22">
        <v>449</v>
      </c>
      <c r="C22" t="s">
        <v>40</v>
      </c>
      <c r="D22">
        <v>90</v>
      </c>
      <c r="E22" t="s">
        <v>9</v>
      </c>
      <c r="F22" t="s">
        <v>23</v>
      </c>
      <c r="G22" t="s">
        <v>11</v>
      </c>
      <c r="H22">
        <v>230</v>
      </c>
      <c r="I22">
        <v>2022</v>
      </c>
      <c r="J22" t="s">
        <v>22</v>
      </c>
      <c r="K22">
        <v>128345.58</v>
      </c>
    </row>
    <row r="23" spans="1:11">
      <c r="A23">
        <v>22</v>
      </c>
      <c r="B23">
        <v>262</v>
      </c>
      <c r="C23" t="s">
        <v>40</v>
      </c>
      <c r="D23">
        <v>90</v>
      </c>
      <c r="E23" t="s">
        <v>20</v>
      </c>
      <c r="F23" t="s">
        <v>23</v>
      </c>
      <c r="G23" t="s">
        <v>11</v>
      </c>
      <c r="H23">
        <v>135</v>
      </c>
      <c r="I23">
        <v>2020</v>
      </c>
      <c r="J23" t="s">
        <v>12</v>
      </c>
      <c r="K23">
        <v>130727.5</v>
      </c>
    </row>
    <row r="24" spans="1:11">
      <c r="A24">
        <v>23</v>
      </c>
      <c r="B24">
        <v>259</v>
      </c>
      <c r="C24" t="s">
        <v>40</v>
      </c>
      <c r="D24">
        <v>90</v>
      </c>
      <c r="E24" t="s">
        <v>20</v>
      </c>
      <c r="F24" t="s">
        <v>10</v>
      </c>
      <c r="G24" t="s">
        <v>11</v>
      </c>
      <c r="H24">
        <v>155</v>
      </c>
      <c r="I24">
        <v>2020</v>
      </c>
      <c r="J24" t="s">
        <v>14</v>
      </c>
      <c r="K24">
        <v>134545</v>
      </c>
    </row>
    <row r="25" spans="1:11">
      <c r="A25">
        <v>24</v>
      </c>
      <c r="B25">
        <v>109</v>
      </c>
      <c r="C25" t="s">
        <v>40</v>
      </c>
      <c r="D25">
        <v>89</v>
      </c>
      <c r="E25" t="s">
        <v>20</v>
      </c>
      <c r="F25" t="s">
        <v>15</v>
      </c>
      <c r="G25" t="s">
        <v>11</v>
      </c>
      <c r="H25">
        <v>205</v>
      </c>
      <c r="I25">
        <v>2018</v>
      </c>
      <c r="J25" t="s">
        <v>12</v>
      </c>
      <c r="K25">
        <v>82589.52</v>
      </c>
    </row>
    <row r="26" spans="1:11">
      <c r="A26">
        <v>25</v>
      </c>
      <c r="B26">
        <v>67</v>
      </c>
      <c r="C26" t="s">
        <v>40</v>
      </c>
      <c r="D26">
        <v>89</v>
      </c>
      <c r="E26" t="s">
        <v>20</v>
      </c>
      <c r="F26" t="s">
        <v>15</v>
      </c>
      <c r="G26" t="s">
        <v>11</v>
      </c>
      <c r="H26">
        <v>225</v>
      </c>
      <c r="I26">
        <v>2018</v>
      </c>
      <c r="J26" t="s">
        <v>14</v>
      </c>
      <c r="K26">
        <v>98328.88</v>
      </c>
    </row>
    <row r="27" spans="1:11">
      <c r="A27">
        <v>26</v>
      </c>
      <c r="B27">
        <v>58</v>
      </c>
      <c r="C27" t="s">
        <v>40</v>
      </c>
      <c r="D27">
        <v>89</v>
      </c>
      <c r="E27" t="s">
        <v>20</v>
      </c>
      <c r="F27" t="s">
        <v>17</v>
      </c>
      <c r="G27" t="s">
        <v>11</v>
      </c>
      <c r="H27">
        <v>200</v>
      </c>
      <c r="I27">
        <v>2018</v>
      </c>
      <c r="J27" t="s">
        <v>14</v>
      </c>
      <c r="K27">
        <v>99344.53</v>
      </c>
    </row>
    <row r="28" spans="1:11">
      <c r="A28">
        <v>27</v>
      </c>
      <c r="B28">
        <v>4</v>
      </c>
      <c r="C28" t="s">
        <v>40</v>
      </c>
      <c r="D28">
        <v>89</v>
      </c>
      <c r="E28" t="s">
        <v>20</v>
      </c>
      <c r="F28" t="s">
        <v>15</v>
      </c>
      <c r="G28" t="s">
        <v>11</v>
      </c>
      <c r="H28">
        <v>200</v>
      </c>
      <c r="I28">
        <v>2017</v>
      </c>
      <c r="J28" t="s">
        <v>22</v>
      </c>
      <c r="K28">
        <v>105980</v>
      </c>
    </row>
    <row r="29" spans="1:11">
      <c r="A29">
        <v>28</v>
      </c>
      <c r="B29">
        <v>173</v>
      </c>
      <c r="C29" t="s">
        <v>40</v>
      </c>
      <c r="D29">
        <v>89</v>
      </c>
      <c r="E29" t="s">
        <v>20</v>
      </c>
      <c r="F29" t="s">
        <v>19</v>
      </c>
      <c r="G29" t="s">
        <v>11</v>
      </c>
      <c r="H29">
        <v>160</v>
      </c>
      <c r="I29">
        <v>2019</v>
      </c>
      <c r="J29" t="s">
        <v>22</v>
      </c>
      <c r="K29" s="1">
        <v>116568.2</v>
      </c>
    </row>
    <row r="30" spans="1:11">
      <c r="A30">
        <v>29</v>
      </c>
      <c r="B30">
        <v>372</v>
      </c>
      <c r="C30" t="s">
        <v>40</v>
      </c>
      <c r="D30">
        <v>88</v>
      </c>
      <c r="E30" t="s">
        <v>20</v>
      </c>
      <c r="F30" t="s">
        <v>15</v>
      </c>
      <c r="G30" t="s">
        <v>24</v>
      </c>
      <c r="H30">
        <v>200</v>
      </c>
      <c r="I30">
        <v>2021</v>
      </c>
      <c r="J30" t="s">
        <v>14</v>
      </c>
      <c r="K30">
        <v>112762.8</v>
      </c>
    </row>
    <row r="31" spans="1:11">
      <c r="A31">
        <v>30</v>
      </c>
      <c r="B31">
        <v>129</v>
      </c>
      <c r="C31" t="s">
        <v>40</v>
      </c>
      <c r="D31">
        <v>87</v>
      </c>
      <c r="E31" t="s">
        <v>9</v>
      </c>
      <c r="F31" t="s">
        <v>23</v>
      </c>
      <c r="G31" t="s">
        <v>11</v>
      </c>
      <c r="H31">
        <v>205</v>
      </c>
      <c r="I31">
        <v>2019</v>
      </c>
      <c r="J31" t="s">
        <v>12</v>
      </c>
      <c r="K31">
        <v>85940.56</v>
      </c>
    </row>
    <row r="32" spans="1:11">
      <c r="A32">
        <v>31</v>
      </c>
      <c r="B32">
        <v>212</v>
      </c>
      <c r="C32" t="s">
        <v>40</v>
      </c>
      <c r="D32">
        <v>87</v>
      </c>
      <c r="E32" t="s">
        <v>9</v>
      </c>
      <c r="F32" t="s">
        <v>23</v>
      </c>
      <c r="G32" t="s">
        <v>11</v>
      </c>
      <c r="H32">
        <v>215</v>
      </c>
      <c r="I32">
        <v>2019</v>
      </c>
      <c r="J32" t="s">
        <v>12</v>
      </c>
      <c r="K32" s="1">
        <v>90944.7</v>
      </c>
    </row>
    <row r="33" spans="1:11">
      <c r="A33">
        <v>32</v>
      </c>
      <c r="B33">
        <v>75</v>
      </c>
      <c r="C33" t="s">
        <v>40</v>
      </c>
      <c r="D33">
        <v>87</v>
      </c>
      <c r="E33" t="s">
        <v>20</v>
      </c>
      <c r="F33" t="s">
        <v>10</v>
      </c>
      <c r="G33" t="s">
        <v>11</v>
      </c>
      <c r="H33">
        <v>130</v>
      </c>
      <c r="I33">
        <v>2018</v>
      </c>
      <c r="J33" t="s">
        <v>12</v>
      </c>
      <c r="K33">
        <v>95874.46</v>
      </c>
    </row>
    <row r="34" spans="1:11">
      <c r="A34">
        <v>33</v>
      </c>
      <c r="B34">
        <v>176</v>
      </c>
      <c r="C34" t="s">
        <v>40</v>
      </c>
      <c r="D34">
        <v>87</v>
      </c>
      <c r="E34" t="s">
        <v>9</v>
      </c>
      <c r="F34" t="s">
        <v>10</v>
      </c>
      <c r="G34" t="s">
        <v>11</v>
      </c>
      <c r="H34">
        <v>210</v>
      </c>
      <c r="I34">
        <v>2019</v>
      </c>
      <c r="J34" t="s">
        <v>22</v>
      </c>
      <c r="K34" s="1">
        <v>95966.04</v>
      </c>
    </row>
    <row r="35" spans="1:11">
      <c r="A35">
        <v>34</v>
      </c>
      <c r="B35">
        <v>475</v>
      </c>
      <c r="C35" t="s">
        <v>40</v>
      </c>
      <c r="D35">
        <v>87</v>
      </c>
      <c r="E35" t="s">
        <v>9</v>
      </c>
      <c r="F35" t="s">
        <v>10</v>
      </c>
      <c r="G35" t="s">
        <v>11</v>
      </c>
      <c r="H35">
        <v>170</v>
      </c>
      <c r="I35">
        <v>2022</v>
      </c>
      <c r="J35" t="s">
        <v>18</v>
      </c>
      <c r="K35">
        <v>101576.25</v>
      </c>
    </row>
    <row r="36" spans="1:11">
      <c r="A36">
        <v>35</v>
      </c>
      <c r="B36">
        <v>225</v>
      </c>
      <c r="C36" t="s">
        <v>40</v>
      </c>
      <c r="D36">
        <v>87</v>
      </c>
      <c r="E36" t="s">
        <v>20</v>
      </c>
      <c r="F36" t="s">
        <v>17</v>
      </c>
      <c r="G36" t="s">
        <v>13</v>
      </c>
      <c r="H36">
        <v>220</v>
      </c>
      <c r="I36">
        <v>2019</v>
      </c>
      <c r="J36" t="s">
        <v>12</v>
      </c>
      <c r="K36">
        <v>105150.96</v>
      </c>
    </row>
    <row r="37" spans="1:11">
      <c r="A37">
        <v>36</v>
      </c>
      <c r="B37">
        <v>235</v>
      </c>
      <c r="C37" t="s">
        <v>40</v>
      </c>
      <c r="D37">
        <v>87</v>
      </c>
      <c r="E37" t="s">
        <v>9</v>
      </c>
      <c r="F37" t="s">
        <v>23</v>
      </c>
      <c r="G37" t="s">
        <v>11</v>
      </c>
      <c r="H37">
        <v>205</v>
      </c>
      <c r="I37">
        <v>2019</v>
      </c>
      <c r="J37" t="s">
        <v>12</v>
      </c>
      <c r="K37">
        <v>105589.78</v>
      </c>
    </row>
    <row r="38" spans="1:11">
      <c r="A38">
        <v>37</v>
      </c>
      <c r="B38">
        <v>393</v>
      </c>
      <c r="C38" t="s">
        <v>40</v>
      </c>
      <c r="D38">
        <v>87</v>
      </c>
      <c r="E38" t="s">
        <v>20</v>
      </c>
      <c r="F38" t="s">
        <v>19</v>
      </c>
      <c r="G38" t="s">
        <v>13</v>
      </c>
      <c r="H38">
        <v>195</v>
      </c>
      <c r="I38">
        <v>2021</v>
      </c>
      <c r="J38" t="s">
        <v>18</v>
      </c>
      <c r="K38">
        <v>108532.8</v>
      </c>
    </row>
    <row r="39" spans="1:11">
      <c r="A39">
        <v>38</v>
      </c>
      <c r="B39">
        <v>41</v>
      </c>
      <c r="C39" t="s">
        <v>40</v>
      </c>
      <c r="D39">
        <v>87</v>
      </c>
      <c r="E39" t="s">
        <v>20</v>
      </c>
      <c r="F39" t="s">
        <v>23</v>
      </c>
      <c r="G39" t="s">
        <v>11</v>
      </c>
      <c r="H39">
        <v>140</v>
      </c>
      <c r="I39">
        <v>2018</v>
      </c>
      <c r="J39" t="s">
        <v>14</v>
      </c>
      <c r="K39" s="1">
        <v>114636.9</v>
      </c>
    </row>
    <row r="40" spans="1:11">
      <c r="A40">
        <v>39</v>
      </c>
      <c r="B40">
        <v>172</v>
      </c>
      <c r="C40" t="s">
        <v>40</v>
      </c>
      <c r="D40">
        <v>87</v>
      </c>
      <c r="E40" t="s">
        <v>9</v>
      </c>
      <c r="F40" t="s">
        <v>10</v>
      </c>
      <c r="G40" t="s">
        <v>11</v>
      </c>
      <c r="H40">
        <v>215</v>
      </c>
      <c r="I40">
        <v>2019</v>
      </c>
      <c r="J40" t="s">
        <v>22</v>
      </c>
      <c r="K40">
        <v>115790.16</v>
      </c>
    </row>
    <row r="41" spans="1:11">
      <c r="A41">
        <v>40</v>
      </c>
      <c r="B41">
        <v>316</v>
      </c>
      <c r="C41" t="s">
        <v>40</v>
      </c>
      <c r="D41">
        <v>87</v>
      </c>
      <c r="E41" t="s">
        <v>9</v>
      </c>
      <c r="F41" t="s">
        <v>10</v>
      </c>
      <c r="G41" t="s">
        <v>11</v>
      </c>
      <c r="H41">
        <v>195</v>
      </c>
      <c r="I41">
        <v>2021</v>
      </c>
      <c r="J41" t="s">
        <v>22</v>
      </c>
      <c r="K41" s="1">
        <v>121504.799999999</v>
      </c>
    </row>
    <row r="42" spans="1:11">
      <c r="A42">
        <v>41</v>
      </c>
      <c r="B42">
        <v>335</v>
      </c>
      <c r="C42" t="s">
        <v>40</v>
      </c>
      <c r="D42">
        <v>87</v>
      </c>
      <c r="E42" t="s">
        <v>9</v>
      </c>
      <c r="F42" t="s">
        <v>23</v>
      </c>
      <c r="G42" t="s">
        <v>11</v>
      </c>
      <c r="H42">
        <v>190</v>
      </c>
      <c r="I42">
        <v>2021</v>
      </c>
      <c r="J42" t="s">
        <v>18</v>
      </c>
      <c r="K42" s="1">
        <v>128043.599999999</v>
      </c>
    </row>
    <row r="43" spans="1:11">
      <c r="A43">
        <v>42</v>
      </c>
      <c r="B43">
        <v>43</v>
      </c>
      <c r="C43" t="s">
        <v>40</v>
      </c>
      <c r="D43">
        <v>86</v>
      </c>
      <c r="E43" t="s">
        <v>20</v>
      </c>
      <c r="F43" t="s">
        <v>23</v>
      </c>
      <c r="G43" t="s">
        <v>13</v>
      </c>
      <c r="H43">
        <v>160</v>
      </c>
      <c r="I43">
        <v>2018</v>
      </c>
      <c r="J43" t="s">
        <v>22</v>
      </c>
      <c r="K43">
        <v>108223.5</v>
      </c>
    </row>
    <row r="44" spans="1:11">
      <c r="A44">
        <v>43</v>
      </c>
      <c r="B44">
        <v>415</v>
      </c>
      <c r="C44" t="s">
        <v>40</v>
      </c>
      <c r="D44">
        <v>85</v>
      </c>
      <c r="E44" t="s">
        <v>9</v>
      </c>
      <c r="F44" t="s">
        <v>17</v>
      </c>
      <c r="G44" t="s">
        <v>11</v>
      </c>
      <c r="H44">
        <v>230</v>
      </c>
      <c r="I44">
        <v>2022</v>
      </c>
      <c r="J44" t="s">
        <v>12</v>
      </c>
      <c r="K44">
        <v>103264.65</v>
      </c>
    </row>
    <row r="45" spans="1:11">
      <c r="A45">
        <v>44</v>
      </c>
      <c r="B45">
        <v>347</v>
      </c>
      <c r="C45" t="s">
        <v>40</v>
      </c>
      <c r="D45">
        <v>85</v>
      </c>
      <c r="E45" t="s">
        <v>9</v>
      </c>
      <c r="F45" t="s">
        <v>19</v>
      </c>
      <c r="G45" t="s">
        <v>11</v>
      </c>
      <c r="H45">
        <v>200</v>
      </c>
      <c r="I45">
        <v>2021</v>
      </c>
      <c r="J45" t="s">
        <v>18</v>
      </c>
      <c r="K45">
        <v>104378.4</v>
      </c>
    </row>
    <row r="46" spans="1:11">
      <c r="A46">
        <v>45</v>
      </c>
      <c r="B46">
        <v>400</v>
      </c>
      <c r="C46" t="s">
        <v>40</v>
      </c>
      <c r="D46">
        <v>85</v>
      </c>
      <c r="E46" t="s">
        <v>9</v>
      </c>
      <c r="F46" t="s">
        <v>17</v>
      </c>
      <c r="G46" t="s">
        <v>11</v>
      </c>
      <c r="H46">
        <v>230</v>
      </c>
      <c r="I46">
        <v>2021</v>
      </c>
      <c r="J46" t="s">
        <v>14</v>
      </c>
      <c r="K46">
        <v>104485.2</v>
      </c>
    </row>
    <row r="47" spans="1:11">
      <c r="A47">
        <v>46</v>
      </c>
      <c r="B47">
        <v>284</v>
      </c>
      <c r="C47" t="s">
        <v>40</v>
      </c>
      <c r="D47">
        <v>85</v>
      </c>
      <c r="E47" t="s">
        <v>9</v>
      </c>
      <c r="F47" t="s">
        <v>19</v>
      </c>
      <c r="G47" t="s">
        <v>11</v>
      </c>
      <c r="H47">
        <v>220</v>
      </c>
      <c r="I47">
        <v>2021</v>
      </c>
      <c r="J47" t="s">
        <v>14</v>
      </c>
      <c r="K47" s="1">
        <v>104505.519999999</v>
      </c>
    </row>
    <row r="48" spans="1:11">
      <c r="A48">
        <v>47</v>
      </c>
      <c r="B48">
        <v>296</v>
      </c>
      <c r="C48" t="s">
        <v>40</v>
      </c>
      <c r="D48">
        <v>85</v>
      </c>
      <c r="E48" t="s">
        <v>9</v>
      </c>
      <c r="F48" t="s">
        <v>15</v>
      </c>
      <c r="G48" t="s">
        <v>11</v>
      </c>
      <c r="H48">
        <v>205</v>
      </c>
      <c r="I48">
        <v>2021</v>
      </c>
      <c r="J48" t="s">
        <v>12</v>
      </c>
      <c r="K48">
        <v>106387.2</v>
      </c>
    </row>
    <row r="49" spans="1:11">
      <c r="A49">
        <v>48</v>
      </c>
      <c r="B49">
        <v>456</v>
      </c>
      <c r="C49" t="s">
        <v>40</v>
      </c>
      <c r="D49">
        <v>85</v>
      </c>
      <c r="E49" t="s">
        <v>9</v>
      </c>
      <c r="F49" t="s">
        <v>23</v>
      </c>
      <c r="G49" t="s">
        <v>13</v>
      </c>
      <c r="H49">
        <v>205</v>
      </c>
      <c r="I49">
        <v>2022</v>
      </c>
      <c r="J49" t="s">
        <v>12</v>
      </c>
      <c r="K49">
        <v>108028.44</v>
      </c>
    </row>
    <row r="50" spans="1:11">
      <c r="A50">
        <v>49</v>
      </c>
      <c r="B50">
        <v>438</v>
      </c>
      <c r="C50" t="s">
        <v>40</v>
      </c>
      <c r="D50">
        <v>85</v>
      </c>
      <c r="E50" t="s">
        <v>9</v>
      </c>
      <c r="F50" t="s">
        <v>15</v>
      </c>
      <c r="G50" t="s">
        <v>11</v>
      </c>
      <c r="H50">
        <v>240</v>
      </c>
      <c r="I50">
        <v>2022</v>
      </c>
      <c r="J50" t="s">
        <v>12</v>
      </c>
      <c r="K50">
        <v>108171.12</v>
      </c>
    </row>
    <row r="51" spans="1:11">
      <c r="A51">
        <v>50</v>
      </c>
      <c r="B51">
        <v>454</v>
      </c>
      <c r="C51" t="s">
        <v>40</v>
      </c>
      <c r="D51">
        <v>85</v>
      </c>
      <c r="E51" t="s">
        <v>9</v>
      </c>
      <c r="F51" t="s">
        <v>19</v>
      </c>
      <c r="G51" t="s">
        <v>11</v>
      </c>
      <c r="H51">
        <v>200</v>
      </c>
      <c r="I51">
        <v>2022</v>
      </c>
      <c r="J51" t="s">
        <v>12</v>
      </c>
      <c r="K51">
        <v>108716.01</v>
      </c>
    </row>
    <row r="52" spans="1:11">
      <c r="A52">
        <v>51</v>
      </c>
      <c r="B52">
        <v>436</v>
      </c>
      <c r="C52" t="s">
        <v>40</v>
      </c>
      <c r="D52">
        <v>85</v>
      </c>
      <c r="E52" t="s">
        <v>9</v>
      </c>
      <c r="F52" t="s">
        <v>10</v>
      </c>
      <c r="G52" t="s">
        <v>13</v>
      </c>
      <c r="H52">
        <v>240</v>
      </c>
      <c r="I52">
        <v>2022</v>
      </c>
      <c r="J52" t="s">
        <v>22</v>
      </c>
      <c r="K52">
        <v>116604</v>
      </c>
    </row>
    <row r="53" spans="1:11">
      <c r="A53">
        <v>52</v>
      </c>
      <c r="B53">
        <v>297</v>
      </c>
      <c r="C53" t="s">
        <v>40</v>
      </c>
      <c r="D53">
        <v>85</v>
      </c>
      <c r="E53" t="s">
        <v>9</v>
      </c>
      <c r="F53" t="s">
        <v>15</v>
      </c>
      <c r="G53" t="s">
        <v>11</v>
      </c>
      <c r="H53">
        <v>225</v>
      </c>
      <c r="I53">
        <v>2021</v>
      </c>
      <c r="J53" t="s">
        <v>14</v>
      </c>
      <c r="K53" s="1">
        <v>117471.599999999</v>
      </c>
    </row>
    <row r="54" spans="1:11">
      <c r="A54">
        <v>53</v>
      </c>
      <c r="B54">
        <v>383</v>
      </c>
      <c r="C54" t="s">
        <v>40</v>
      </c>
      <c r="D54">
        <v>85</v>
      </c>
      <c r="E54" t="s">
        <v>9</v>
      </c>
      <c r="F54" t="s">
        <v>23</v>
      </c>
      <c r="G54" t="s">
        <v>13</v>
      </c>
      <c r="H54">
        <v>245</v>
      </c>
      <c r="I54">
        <v>2021</v>
      </c>
      <c r="J54" t="s">
        <v>14</v>
      </c>
      <c r="K54" s="1">
        <v>117771.599999999</v>
      </c>
    </row>
    <row r="55" spans="1:11">
      <c r="A55">
        <v>54</v>
      </c>
      <c r="B55">
        <v>407</v>
      </c>
      <c r="C55" t="s">
        <v>40</v>
      </c>
      <c r="D55">
        <v>85</v>
      </c>
      <c r="E55" t="s">
        <v>9</v>
      </c>
      <c r="F55" t="s">
        <v>19</v>
      </c>
      <c r="G55" t="s">
        <v>11</v>
      </c>
      <c r="H55">
        <v>235</v>
      </c>
      <c r="I55">
        <v>2022</v>
      </c>
      <c r="J55" t="s">
        <v>12</v>
      </c>
      <c r="K55">
        <v>119570.76</v>
      </c>
    </row>
    <row r="56" spans="1:11">
      <c r="A56">
        <v>55</v>
      </c>
      <c r="B56">
        <v>287</v>
      </c>
      <c r="C56" t="s">
        <v>40</v>
      </c>
      <c r="D56">
        <v>85</v>
      </c>
      <c r="E56" t="s">
        <v>9</v>
      </c>
      <c r="F56" t="s">
        <v>15</v>
      </c>
      <c r="G56" t="s">
        <v>11</v>
      </c>
      <c r="H56">
        <v>215</v>
      </c>
      <c r="I56">
        <v>2021</v>
      </c>
      <c r="J56" t="s">
        <v>14</v>
      </c>
      <c r="K56">
        <v>121669.2</v>
      </c>
    </row>
    <row r="57" spans="1:11">
      <c r="A57">
        <v>56</v>
      </c>
      <c r="B57">
        <v>478</v>
      </c>
      <c r="C57" t="s">
        <v>40</v>
      </c>
      <c r="D57">
        <v>85</v>
      </c>
      <c r="E57" t="s">
        <v>9</v>
      </c>
      <c r="F57" t="s">
        <v>23</v>
      </c>
      <c r="G57" t="s">
        <v>13</v>
      </c>
      <c r="H57">
        <v>220</v>
      </c>
      <c r="I57">
        <v>2022</v>
      </c>
      <c r="J57" t="s">
        <v>18</v>
      </c>
      <c r="K57">
        <v>124838.75</v>
      </c>
    </row>
    <row r="58" spans="1:11">
      <c r="A58">
        <v>57</v>
      </c>
      <c r="B58">
        <v>423</v>
      </c>
      <c r="C58" t="s">
        <v>40</v>
      </c>
      <c r="D58">
        <v>85</v>
      </c>
      <c r="E58" t="s">
        <v>9</v>
      </c>
      <c r="F58" t="s">
        <v>15</v>
      </c>
      <c r="G58" t="s">
        <v>11</v>
      </c>
      <c r="H58">
        <v>200</v>
      </c>
      <c r="I58">
        <v>2022</v>
      </c>
      <c r="J58" t="s">
        <v>22</v>
      </c>
      <c r="K58" s="1">
        <v>125300.099999999</v>
      </c>
    </row>
    <row r="59" spans="1:11">
      <c r="A59">
        <v>58</v>
      </c>
      <c r="B59">
        <v>369</v>
      </c>
      <c r="C59" t="s">
        <v>40</v>
      </c>
      <c r="D59">
        <v>85</v>
      </c>
      <c r="E59" t="s">
        <v>9</v>
      </c>
      <c r="F59" t="s">
        <v>15</v>
      </c>
      <c r="G59" t="s">
        <v>11</v>
      </c>
      <c r="H59">
        <v>200</v>
      </c>
      <c r="I59">
        <v>2021</v>
      </c>
      <c r="J59" t="s">
        <v>12</v>
      </c>
      <c r="K59">
        <v>126607.2</v>
      </c>
    </row>
    <row r="60" spans="1:11">
      <c r="A60">
        <v>59</v>
      </c>
      <c r="B60">
        <v>351</v>
      </c>
      <c r="C60" t="s">
        <v>40</v>
      </c>
      <c r="D60">
        <v>85</v>
      </c>
      <c r="E60" t="s">
        <v>9</v>
      </c>
      <c r="F60" t="s">
        <v>10</v>
      </c>
      <c r="G60" t="s">
        <v>13</v>
      </c>
      <c r="H60">
        <v>230</v>
      </c>
      <c r="I60">
        <v>2021</v>
      </c>
      <c r="J60" t="s">
        <v>22</v>
      </c>
      <c r="K60" s="1">
        <v>126897.599999999</v>
      </c>
    </row>
    <row r="61" spans="1:11">
      <c r="A61">
        <v>60</v>
      </c>
      <c r="B61">
        <v>390</v>
      </c>
      <c r="C61" t="s">
        <v>40</v>
      </c>
      <c r="D61">
        <v>85</v>
      </c>
      <c r="E61" t="s">
        <v>9</v>
      </c>
      <c r="F61" t="s">
        <v>15</v>
      </c>
      <c r="G61" t="s">
        <v>11</v>
      </c>
      <c r="H61">
        <v>205</v>
      </c>
      <c r="I61">
        <v>2021</v>
      </c>
      <c r="J61" t="s">
        <v>12</v>
      </c>
      <c r="K61">
        <v>130543.2</v>
      </c>
    </row>
    <row r="62" spans="1:11">
      <c r="A62">
        <v>61</v>
      </c>
      <c r="B62">
        <v>201</v>
      </c>
      <c r="C62" t="s">
        <v>40</v>
      </c>
      <c r="D62">
        <v>84</v>
      </c>
      <c r="E62" t="s">
        <v>9</v>
      </c>
      <c r="F62" t="s">
        <v>23</v>
      </c>
      <c r="G62" t="s">
        <v>11</v>
      </c>
      <c r="H62">
        <v>170</v>
      </c>
      <c r="I62">
        <v>2019</v>
      </c>
      <c r="J62" t="s">
        <v>18</v>
      </c>
      <c r="K62">
        <v>90472.06</v>
      </c>
    </row>
    <row r="63" spans="1:11">
      <c r="A63">
        <v>62</v>
      </c>
      <c r="B63">
        <v>53</v>
      </c>
      <c r="C63" t="s">
        <v>40</v>
      </c>
      <c r="D63">
        <v>84</v>
      </c>
      <c r="E63" t="s">
        <v>9</v>
      </c>
      <c r="F63" t="s">
        <v>23</v>
      </c>
      <c r="G63" t="s">
        <v>11</v>
      </c>
      <c r="H63">
        <v>240</v>
      </c>
      <c r="I63">
        <v>2018</v>
      </c>
      <c r="J63" t="s">
        <v>14</v>
      </c>
      <c r="K63">
        <v>101242.05</v>
      </c>
    </row>
    <row r="64" spans="1:11">
      <c r="A64">
        <v>63</v>
      </c>
      <c r="B64">
        <v>202</v>
      </c>
      <c r="C64" t="s">
        <v>40</v>
      </c>
      <c r="D64">
        <v>84</v>
      </c>
      <c r="E64" t="s">
        <v>9</v>
      </c>
      <c r="F64" t="s">
        <v>23</v>
      </c>
      <c r="G64" t="s">
        <v>11</v>
      </c>
      <c r="H64">
        <v>175</v>
      </c>
      <c r="I64">
        <v>2019</v>
      </c>
      <c r="J64" t="s">
        <v>12</v>
      </c>
      <c r="K64">
        <v>107986.44</v>
      </c>
    </row>
    <row r="65" spans="1:11">
      <c r="A65">
        <v>64</v>
      </c>
      <c r="B65">
        <v>452</v>
      </c>
      <c r="C65" t="s">
        <v>40</v>
      </c>
      <c r="D65">
        <v>84</v>
      </c>
      <c r="E65" t="s">
        <v>20</v>
      </c>
      <c r="F65" t="s">
        <v>15</v>
      </c>
      <c r="G65" t="s">
        <v>11</v>
      </c>
      <c r="H65">
        <v>105</v>
      </c>
      <c r="I65">
        <v>2022</v>
      </c>
      <c r="J65" t="s">
        <v>14</v>
      </c>
      <c r="K65">
        <v>110757.81</v>
      </c>
    </row>
    <row r="66" spans="1:11">
      <c r="A66">
        <v>65</v>
      </c>
      <c r="B66">
        <v>96</v>
      </c>
      <c r="C66" t="s">
        <v>40</v>
      </c>
      <c r="D66">
        <v>84</v>
      </c>
      <c r="E66" t="s">
        <v>9</v>
      </c>
      <c r="F66" t="s">
        <v>10</v>
      </c>
      <c r="G66" t="s">
        <v>11</v>
      </c>
      <c r="H66">
        <v>240</v>
      </c>
      <c r="I66">
        <v>2018</v>
      </c>
      <c r="J66" t="s">
        <v>14</v>
      </c>
      <c r="K66">
        <v>112532.16</v>
      </c>
    </row>
    <row r="67" spans="1:11">
      <c r="A67">
        <v>66</v>
      </c>
      <c r="B67">
        <v>280</v>
      </c>
      <c r="C67" t="s">
        <v>40</v>
      </c>
      <c r="D67">
        <v>83</v>
      </c>
      <c r="E67" t="s">
        <v>9</v>
      </c>
      <c r="F67" t="s">
        <v>23</v>
      </c>
      <c r="G67" t="s">
        <v>11</v>
      </c>
      <c r="H67">
        <v>150</v>
      </c>
      <c r="I67">
        <v>2021</v>
      </c>
      <c r="J67" t="s">
        <v>14</v>
      </c>
      <c r="K67" s="1">
        <v>94686.739999999903</v>
      </c>
    </row>
    <row r="68" spans="1:11">
      <c r="A68">
        <v>67</v>
      </c>
      <c r="B68">
        <v>492</v>
      </c>
      <c r="C68" t="s">
        <v>40</v>
      </c>
      <c r="D68">
        <v>83</v>
      </c>
      <c r="E68" t="s">
        <v>20</v>
      </c>
      <c r="F68" t="s">
        <v>15</v>
      </c>
      <c r="G68" t="s">
        <v>13</v>
      </c>
      <c r="H68">
        <v>130</v>
      </c>
      <c r="I68">
        <v>2022</v>
      </c>
      <c r="J68" t="s">
        <v>12</v>
      </c>
      <c r="K68">
        <v>111505</v>
      </c>
    </row>
    <row r="69" spans="1:11">
      <c r="A69">
        <v>68</v>
      </c>
      <c r="B69">
        <v>421</v>
      </c>
      <c r="C69" t="s">
        <v>40</v>
      </c>
      <c r="D69">
        <v>83</v>
      </c>
      <c r="E69" t="s">
        <v>20</v>
      </c>
      <c r="F69" t="s">
        <v>15</v>
      </c>
      <c r="G69" t="s">
        <v>13</v>
      </c>
      <c r="H69">
        <v>120</v>
      </c>
      <c r="I69">
        <v>2022</v>
      </c>
      <c r="J69" t="s">
        <v>18</v>
      </c>
      <c r="K69">
        <v>118322.31</v>
      </c>
    </row>
    <row r="70" spans="1:11">
      <c r="A70">
        <v>69</v>
      </c>
      <c r="B70">
        <v>303</v>
      </c>
      <c r="C70" t="s">
        <v>40</v>
      </c>
      <c r="D70">
        <v>82</v>
      </c>
      <c r="E70" t="s">
        <v>9</v>
      </c>
      <c r="F70" t="s">
        <v>10</v>
      </c>
      <c r="G70" t="s">
        <v>13</v>
      </c>
      <c r="H70">
        <v>190</v>
      </c>
      <c r="I70">
        <v>2021</v>
      </c>
      <c r="J70" t="s">
        <v>18</v>
      </c>
      <c r="K70">
        <v>96496.8</v>
      </c>
    </row>
    <row r="71" spans="1:11">
      <c r="A71">
        <v>70</v>
      </c>
      <c r="B71">
        <v>325</v>
      </c>
      <c r="C71" t="s">
        <v>40</v>
      </c>
      <c r="D71">
        <v>82</v>
      </c>
      <c r="E71" t="s">
        <v>9</v>
      </c>
      <c r="F71" t="s">
        <v>19</v>
      </c>
      <c r="G71" t="s">
        <v>11</v>
      </c>
      <c r="H71">
        <v>190</v>
      </c>
      <c r="I71">
        <v>2021</v>
      </c>
      <c r="J71" t="s">
        <v>22</v>
      </c>
      <c r="K71">
        <v>97430.399999999994</v>
      </c>
    </row>
    <row r="72" spans="1:11">
      <c r="A72">
        <v>71</v>
      </c>
      <c r="B72">
        <v>384</v>
      </c>
      <c r="C72" t="s">
        <v>40</v>
      </c>
      <c r="D72">
        <v>82</v>
      </c>
      <c r="E72" t="s">
        <v>9</v>
      </c>
      <c r="F72" t="s">
        <v>10</v>
      </c>
      <c r="G72" t="s">
        <v>13</v>
      </c>
      <c r="H72">
        <v>160</v>
      </c>
      <c r="I72">
        <v>2021</v>
      </c>
      <c r="J72" t="s">
        <v>12</v>
      </c>
      <c r="K72">
        <v>98467.199999999997</v>
      </c>
    </row>
    <row r="73" spans="1:11">
      <c r="A73">
        <v>72</v>
      </c>
      <c r="B73">
        <v>184</v>
      </c>
      <c r="C73" t="s">
        <v>40</v>
      </c>
      <c r="D73">
        <v>82</v>
      </c>
      <c r="E73" t="s">
        <v>9</v>
      </c>
      <c r="F73" t="s">
        <v>10</v>
      </c>
      <c r="G73" t="s">
        <v>13</v>
      </c>
      <c r="H73">
        <v>215</v>
      </c>
      <c r="I73">
        <v>2019</v>
      </c>
      <c r="J73" t="s">
        <v>12</v>
      </c>
      <c r="K73">
        <v>99127.8</v>
      </c>
    </row>
    <row r="74" spans="1:11">
      <c r="A74">
        <v>73</v>
      </c>
      <c r="B74">
        <v>408</v>
      </c>
      <c r="C74" t="s">
        <v>40</v>
      </c>
      <c r="D74">
        <v>82</v>
      </c>
      <c r="E74" t="s">
        <v>9</v>
      </c>
      <c r="F74" t="s">
        <v>15</v>
      </c>
      <c r="G74" t="s">
        <v>11</v>
      </c>
      <c r="H74">
        <v>190</v>
      </c>
      <c r="I74">
        <v>2022</v>
      </c>
      <c r="J74" t="s">
        <v>18</v>
      </c>
      <c r="K74">
        <v>101814.48</v>
      </c>
    </row>
    <row r="75" spans="1:11">
      <c r="A75">
        <v>74</v>
      </c>
      <c r="B75">
        <v>392</v>
      </c>
      <c r="C75" t="s">
        <v>40</v>
      </c>
      <c r="D75">
        <v>82</v>
      </c>
      <c r="E75" t="s">
        <v>9</v>
      </c>
      <c r="F75" t="s">
        <v>17</v>
      </c>
      <c r="G75" t="s">
        <v>11</v>
      </c>
      <c r="H75">
        <v>195</v>
      </c>
      <c r="I75">
        <v>2021</v>
      </c>
      <c r="J75" t="s">
        <v>22</v>
      </c>
      <c r="K75">
        <v>103060.8</v>
      </c>
    </row>
    <row r="76" spans="1:11">
      <c r="A76">
        <v>75</v>
      </c>
      <c r="B76">
        <v>134</v>
      </c>
      <c r="C76" t="s">
        <v>40</v>
      </c>
      <c r="D76">
        <v>82</v>
      </c>
      <c r="E76" t="s">
        <v>9</v>
      </c>
      <c r="F76" t="s">
        <v>10</v>
      </c>
      <c r="G76" t="s">
        <v>13</v>
      </c>
      <c r="H76">
        <v>235</v>
      </c>
      <c r="I76">
        <v>2019</v>
      </c>
      <c r="J76" t="s">
        <v>18</v>
      </c>
      <c r="K76" s="1">
        <v>103370.04</v>
      </c>
    </row>
    <row r="77" spans="1:11">
      <c r="A77">
        <v>76</v>
      </c>
      <c r="B77">
        <v>215</v>
      </c>
      <c r="C77" t="s">
        <v>40</v>
      </c>
      <c r="D77">
        <v>82</v>
      </c>
      <c r="E77" t="s">
        <v>9</v>
      </c>
      <c r="F77" t="s">
        <v>10</v>
      </c>
      <c r="G77" t="s">
        <v>13</v>
      </c>
      <c r="H77">
        <v>235</v>
      </c>
      <c r="I77">
        <v>2019</v>
      </c>
      <c r="J77" t="s">
        <v>14</v>
      </c>
      <c r="K77">
        <v>103862.52</v>
      </c>
    </row>
    <row r="78" spans="1:11">
      <c r="A78">
        <v>77</v>
      </c>
      <c r="B78">
        <v>136</v>
      </c>
      <c r="C78" t="s">
        <v>40</v>
      </c>
      <c r="D78">
        <v>82</v>
      </c>
      <c r="E78" t="s">
        <v>9</v>
      </c>
      <c r="F78" t="s">
        <v>19</v>
      </c>
      <c r="G78" t="s">
        <v>11</v>
      </c>
      <c r="H78">
        <v>230</v>
      </c>
      <c r="I78">
        <v>2019</v>
      </c>
      <c r="J78" t="s">
        <v>12</v>
      </c>
      <c r="K78">
        <v>106728.6</v>
      </c>
    </row>
    <row r="79" spans="1:11">
      <c r="A79">
        <v>78</v>
      </c>
      <c r="B79">
        <v>204</v>
      </c>
      <c r="C79" t="s">
        <v>40</v>
      </c>
      <c r="D79">
        <v>82</v>
      </c>
      <c r="E79" t="s">
        <v>9</v>
      </c>
      <c r="F79" t="s">
        <v>10</v>
      </c>
      <c r="G79" t="s">
        <v>13</v>
      </c>
      <c r="H79">
        <v>230</v>
      </c>
      <c r="I79">
        <v>2019</v>
      </c>
      <c r="J79" t="s">
        <v>22</v>
      </c>
      <c r="K79">
        <v>106868.14</v>
      </c>
    </row>
    <row r="80" spans="1:11">
      <c r="A80">
        <v>79</v>
      </c>
      <c r="B80">
        <v>277</v>
      </c>
      <c r="C80" t="s">
        <v>40</v>
      </c>
      <c r="D80">
        <v>82</v>
      </c>
      <c r="E80" t="s">
        <v>9</v>
      </c>
      <c r="F80" t="s">
        <v>15</v>
      </c>
      <c r="G80" t="s">
        <v>11</v>
      </c>
      <c r="H80">
        <v>180</v>
      </c>
      <c r="I80">
        <v>2021</v>
      </c>
      <c r="J80" t="s">
        <v>22</v>
      </c>
      <c r="K80" s="1">
        <v>108067.939999999</v>
      </c>
    </row>
    <row r="81" spans="1:11">
      <c r="A81">
        <v>80</v>
      </c>
      <c r="B81">
        <v>339</v>
      </c>
      <c r="C81" t="s">
        <v>40</v>
      </c>
      <c r="D81">
        <v>82</v>
      </c>
      <c r="E81" t="s">
        <v>9</v>
      </c>
      <c r="F81" t="s">
        <v>15</v>
      </c>
      <c r="G81" t="s">
        <v>11</v>
      </c>
      <c r="H81">
        <v>195</v>
      </c>
      <c r="I81">
        <v>2021</v>
      </c>
      <c r="J81" t="s">
        <v>14</v>
      </c>
      <c r="K81">
        <v>111172.8</v>
      </c>
    </row>
    <row r="82" spans="1:11">
      <c r="A82">
        <v>81</v>
      </c>
      <c r="B82">
        <v>307</v>
      </c>
      <c r="C82" t="s">
        <v>40</v>
      </c>
      <c r="D82">
        <v>82</v>
      </c>
      <c r="E82" t="s">
        <v>9</v>
      </c>
      <c r="F82" t="s">
        <v>10</v>
      </c>
      <c r="G82" t="s">
        <v>13</v>
      </c>
      <c r="H82">
        <v>185</v>
      </c>
      <c r="I82">
        <v>2021</v>
      </c>
      <c r="J82" t="s">
        <v>22</v>
      </c>
      <c r="K82">
        <v>114187.2</v>
      </c>
    </row>
    <row r="83" spans="1:11">
      <c r="A83">
        <v>82</v>
      </c>
      <c r="B83">
        <v>226</v>
      </c>
      <c r="C83" t="s">
        <v>40</v>
      </c>
      <c r="D83">
        <v>82</v>
      </c>
      <c r="E83" t="s">
        <v>9</v>
      </c>
      <c r="F83" t="s">
        <v>23</v>
      </c>
      <c r="G83" t="s">
        <v>13</v>
      </c>
      <c r="H83">
        <v>245</v>
      </c>
      <c r="I83">
        <v>2019</v>
      </c>
      <c r="J83" t="s">
        <v>12</v>
      </c>
      <c r="K83">
        <v>114874.32</v>
      </c>
    </row>
    <row r="84" spans="1:11">
      <c r="A84">
        <v>83</v>
      </c>
      <c r="B84">
        <v>268</v>
      </c>
      <c r="C84" t="s">
        <v>40</v>
      </c>
      <c r="D84">
        <v>82</v>
      </c>
      <c r="E84" t="s">
        <v>9</v>
      </c>
      <c r="F84" t="s">
        <v>17</v>
      </c>
      <c r="G84" t="s">
        <v>11</v>
      </c>
      <c r="H84">
        <v>225</v>
      </c>
      <c r="I84">
        <v>2020</v>
      </c>
      <c r="J84" t="s">
        <v>14</v>
      </c>
      <c r="K84">
        <v>115236.25</v>
      </c>
    </row>
    <row r="85" spans="1:11">
      <c r="A85">
        <v>84</v>
      </c>
      <c r="B85">
        <v>210</v>
      </c>
      <c r="C85" t="s">
        <v>40</v>
      </c>
      <c r="D85">
        <v>82</v>
      </c>
      <c r="E85" t="s">
        <v>9</v>
      </c>
      <c r="F85" t="s">
        <v>23</v>
      </c>
      <c r="G85" t="s">
        <v>13</v>
      </c>
      <c r="H85">
        <v>205</v>
      </c>
      <c r="I85">
        <v>2019</v>
      </c>
      <c r="J85" t="s">
        <v>18</v>
      </c>
      <c r="K85" s="1">
        <v>117630.7</v>
      </c>
    </row>
    <row r="86" spans="1:11">
      <c r="A86">
        <v>85</v>
      </c>
      <c r="B86">
        <v>469</v>
      </c>
      <c r="C86" t="s">
        <v>40</v>
      </c>
      <c r="D86">
        <v>82</v>
      </c>
      <c r="E86" t="s">
        <v>9</v>
      </c>
      <c r="F86" t="s">
        <v>23</v>
      </c>
      <c r="G86" t="s">
        <v>13</v>
      </c>
      <c r="H86">
        <v>175</v>
      </c>
      <c r="I86">
        <v>2022</v>
      </c>
      <c r="J86" t="s">
        <v>12</v>
      </c>
      <c r="K86">
        <v>118886.25</v>
      </c>
    </row>
    <row r="87" spans="1:11">
      <c r="A87">
        <v>86</v>
      </c>
      <c r="B87">
        <v>341</v>
      </c>
      <c r="C87" t="s">
        <v>40</v>
      </c>
      <c r="D87">
        <v>82</v>
      </c>
      <c r="E87" t="s">
        <v>9</v>
      </c>
      <c r="F87" t="s">
        <v>15</v>
      </c>
      <c r="G87" t="s">
        <v>11</v>
      </c>
      <c r="H87">
        <v>190</v>
      </c>
      <c r="I87">
        <v>2021</v>
      </c>
      <c r="J87" t="s">
        <v>18</v>
      </c>
      <c r="K87" s="1">
        <v>120495.599999999</v>
      </c>
    </row>
    <row r="88" spans="1:11">
      <c r="A88">
        <v>87</v>
      </c>
      <c r="B88">
        <v>435</v>
      </c>
      <c r="C88" t="s">
        <v>40</v>
      </c>
      <c r="D88">
        <v>82</v>
      </c>
      <c r="E88" t="s">
        <v>9</v>
      </c>
      <c r="F88" t="s">
        <v>17</v>
      </c>
      <c r="G88" t="s">
        <v>11</v>
      </c>
      <c r="H88">
        <v>160</v>
      </c>
      <c r="I88">
        <v>2022</v>
      </c>
      <c r="J88" t="s">
        <v>22</v>
      </c>
      <c r="K88">
        <v>121287.84</v>
      </c>
    </row>
    <row r="89" spans="1:11">
      <c r="A89">
        <v>88</v>
      </c>
      <c r="B89">
        <v>283</v>
      </c>
      <c r="C89" t="s">
        <v>40</v>
      </c>
      <c r="D89">
        <v>82</v>
      </c>
      <c r="E89" t="s">
        <v>9</v>
      </c>
      <c r="F89" t="s">
        <v>15</v>
      </c>
      <c r="G89" t="s">
        <v>11</v>
      </c>
      <c r="H89">
        <v>185</v>
      </c>
      <c r="I89">
        <v>2021</v>
      </c>
      <c r="J89" t="s">
        <v>22</v>
      </c>
      <c r="K89" s="1">
        <v>122922.959999999</v>
      </c>
    </row>
    <row r="90" spans="1:11">
      <c r="A90">
        <v>89</v>
      </c>
      <c r="B90">
        <v>406</v>
      </c>
      <c r="C90" t="s">
        <v>40</v>
      </c>
      <c r="D90">
        <v>82</v>
      </c>
      <c r="E90" t="s">
        <v>9</v>
      </c>
      <c r="F90" t="s">
        <v>19</v>
      </c>
      <c r="G90" t="s">
        <v>11</v>
      </c>
      <c r="H90">
        <v>195</v>
      </c>
      <c r="I90">
        <v>2022</v>
      </c>
      <c r="J90" t="s">
        <v>14</v>
      </c>
      <c r="K90">
        <v>124720.77</v>
      </c>
    </row>
    <row r="91" spans="1:11">
      <c r="A91">
        <v>90</v>
      </c>
      <c r="B91">
        <v>471</v>
      </c>
      <c r="C91" t="s">
        <v>40</v>
      </c>
      <c r="D91">
        <v>82</v>
      </c>
      <c r="E91" t="s">
        <v>9</v>
      </c>
      <c r="F91" t="s">
        <v>19</v>
      </c>
      <c r="G91" t="s">
        <v>11</v>
      </c>
      <c r="H91">
        <v>185</v>
      </c>
      <c r="I91">
        <v>2022</v>
      </c>
      <c r="J91" t="s">
        <v>18</v>
      </c>
      <c r="K91">
        <v>133112.5</v>
      </c>
    </row>
    <row r="92" spans="1:11">
      <c r="A92">
        <v>91</v>
      </c>
      <c r="B92">
        <v>7</v>
      </c>
      <c r="C92" t="s">
        <v>40</v>
      </c>
      <c r="D92">
        <v>81</v>
      </c>
      <c r="E92" t="s">
        <v>9</v>
      </c>
      <c r="F92" t="s">
        <v>10</v>
      </c>
      <c r="G92" t="s">
        <v>11</v>
      </c>
      <c r="H92">
        <v>185</v>
      </c>
      <c r="I92">
        <v>2017</v>
      </c>
      <c r="J92" t="s">
        <v>12</v>
      </c>
      <c r="K92">
        <v>82296</v>
      </c>
    </row>
    <row r="93" spans="1:11">
      <c r="A93">
        <v>92</v>
      </c>
      <c r="B93">
        <v>239</v>
      </c>
      <c r="C93" t="s">
        <v>40</v>
      </c>
      <c r="D93">
        <v>81</v>
      </c>
      <c r="E93" t="s">
        <v>20</v>
      </c>
      <c r="F93" t="s">
        <v>15</v>
      </c>
      <c r="G93" t="s">
        <v>11</v>
      </c>
      <c r="H93">
        <v>110</v>
      </c>
      <c r="I93">
        <v>2019</v>
      </c>
      <c r="J93" t="s">
        <v>18</v>
      </c>
      <c r="K93">
        <v>90693</v>
      </c>
    </row>
    <row r="94" spans="1:11">
      <c r="A94">
        <v>93</v>
      </c>
      <c r="B94">
        <v>220</v>
      </c>
      <c r="C94" t="s">
        <v>40</v>
      </c>
      <c r="D94">
        <v>80</v>
      </c>
      <c r="E94" t="s">
        <v>9</v>
      </c>
      <c r="F94" t="s">
        <v>23</v>
      </c>
      <c r="G94" t="s">
        <v>11</v>
      </c>
      <c r="H94">
        <v>125</v>
      </c>
      <c r="I94">
        <v>2019</v>
      </c>
      <c r="J94" t="s">
        <v>12</v>
      </c>
      <c r="K94">
        <v>93743.22</v>
      </c>
    </row>
    <row r="95" spans="1:11">
      <c r="A95">
        <v>94</v>
      </c>
      <c r="B95">
        <v>124</v>
      </c>
      <c r="C95" t="s">
        <v>40</v>
      </c>
      <c r="D95">
        <v>80</v>
      </c>
      <c r="E95" t="s">
        <v>9</v>
      </c>
      <c r="F95" t="s">
        <v>23</v>
      </c>
      <c r="G95" t="s">
        <v>11</v>
      </c>
      <c r="H95">
        <v>145</v>
      </c>
      <c r="I95">
        <v>2019</v>
      </c>
      <c r="J95" t="s">
        <v>12</v>
      </c>
      <c r="K95">
        <v>100567.5</v>
      </c>
    </row>
    <row r="96" spans="1:11">
      <c r="A96">
        <v>95</v>
      </c>
      <c r="B96">
        <v>322</v>
      </c>
      <c r="C96" t="s">
        <v>40</v>
      </c>
      <c r="D96">
        <v>80</v>
      </c>
      <c r="E96" t="s">
        <v>9</v>
      </c>
      <c r="F96" t="s">
        <v>19</v>
      </c>
      <c r="G96" t="s">
        <v>13</v>
      </c>
      <c r="H96">
        <v>200</v>
      </c>
      <c r="I96">
        <v>2021</v>
      </c>
      <c r="J96" t="s">
        <v>14</v>
      </c>
      <c r="K96" s="1">
        <v>105723.599999999</v>
      </c>
    </row>
    <row r="97" spans="1:11">
      <c r="A97">
        <v>96</v>
      </c>
      <c r="B97">
        <v>304</v>
      </c>
      <c r="C97" t="s">
        <v>40</v>
      </c>
      <c r="D97">
        <v>80</v>
      </c>
      <c r="E97" t="s">
        <v>9</v>
      </c>
      <c r="F97" t="s">
        <v>19</v>
      </c>
      <c r="G97" t="s">
        <v>13</v>
      </c>
      <c r="H97">
        <v>220</v>
      </c>
      <c r="I97">
        <v>2021</v>
      </c>
      <c r="J97" t="s">
        <v>12</v>
      </c>
      <c r="K97">
        <v>107226</v>
      </c>
    </row>
    <row r="98" spans="1:11">
      <c r="A98">
        <v>97</v>
      </c>
      <c r="B98">
        <v>269</v>
      </c>
      <c r="C98" t="s">
        <v>40</v>
      </c>
      <c r="D98">
        <v>80</v>
      </c>
      <c r="E98" t="s">
        <v>9</v>
      </c>
      <c r="F98" t="s">
        <v>10</v>
      </c>
      <c r="G98" t="s">
        <v>11</v>
      </c>
      <c r="H98">
        <v>130</v>
      </c>
      <c r="I98">
        <v>2020</v>
      </c>
      <c r="J98" t="s">
        <v>22</v>
      </c>
      <c r="K98">
        <v>107877.5</v>
      </c>
    </row>
    <row r="99" spans="1:11">
      <c r="A99">
        <v>98</v>
      </c>
      <c r="B99">
        <v>282</v>
      </c>
      <c r="C99" t="s">
        <v>40</v>
      </c>
      <c r="D99">
        <v>80</v>
      </c>
      <c r="E99" t="s">
        <v>9</v>
      </c>
      <c r="F99" t="s">
        <v>17</v>
      </c>
      <c r="G99" t="s">
        <v>13</v>
      </c>
      <c r="H99">
        <v>215</v>
      </c>
      <c r="I99">
        <v>2021</v>
      </c>
      <c r="J99" t="s">
        <v>14</v>
      </c>
      <c r="K99">
        <v>114954.42</v>
      </c>
    </row>
    <row r="100" spans="1:11">
      <c r="A100">
        <v>99</v>
      </c>
      <c r="B100">
        <v>361</v>
      </c>
      <c r="C100" t="s">
        <v>40</v>
      </c>
      <c r="D100">
        <v>80</v>
      </c>
      <c r="E100" t="s">
        <v>9</v>
      </c>
      <c r="F100" t="s">
        <v>17</v>
      </c>
      <c r="G100" t="s">
        <v>13</v>
      </c>
      <c r="H100">
        <v>210</v>
      </c>
      <c r="I100">
        <v>2021</v>
      </c>
      <c r="J100" t="s">
        <v>12</v>
      </c>
      <c r="K100">
        <v>119652</v>
      </c>
    </row>
    <row r="101" spans="1:11">
      <c r="A101">
        <v>100</v>
      </c>
      <c r="B101">
        <v>337</v>
      </c>
      <c r="C101" t="s">
        <v>40</v>
      </c>
      <c r="D101">
        <v>80</v>
      </c>
      <c r="E101" t="s">
        <v>9</v>
      </c>
      <c r="F101" t="s">
        <v>15</v>
      </c>
      <c r="G101" t="s">
        <v>13</v>
      </c>
      <c r="H101">
        <v>220</v>
      </c>
      <c r="I101">
        <v>2021</v>
      </c>
      <c r="J101" t="s">
        <v>12</v>
      </c>
      <c r="K101">
        <v>121363.2</v>
      </c>
    </row>
    <row r="102" spans="1:11">
      <c r="A102">
        <v>101</v>
      </c>
      <c r="B102">
        <v>488</v>
      </c>
      <c r="C102" t="s">
        <v>40</v>
      </c>
      <c r="D102">
        <v>80</v>
      </c>
      <c r="E102" t="s">
        <v>9</v>
      </c>
      <c r="F102" t="s">
        <v>15</v>
      </c>
      <c r="G102" t="s">
        <v>13</v>
      </c>
      <c r="H102">
        <v>245</v>
      </c>
      <c r="I102">
        <v>2022</v>
      </c>
      <c r="J102" t="s">
        <v>14</v>
      </c>
      <c r="K102">
        <v>123923.75</v>
      </c>
    </row>
    <row r="103" spans="1:11">
      <c r="A103">
        <v>102</v>
      </c>
      <c r="B103">
        <v>476</v>
      </c>
      <c r="C103" t="s">
        <v>40</v>
      </c>
      <c r="D103">
        <v>80</v>
      </c>
      <c r="E103" t="s">
        <v>9</v>
      </c>
      <c r="F103" t="s">
        <v>15</v>
      </c>
      <c r="G103" t="s">
        <v>13</v>
      </c>
      <c r="H103">
        <v>205</v>
      </c>
      <c r="I103">
        <v>2022</v>
      </c>
      <c r="J103" t="s">
        <v>12</v>
      </c>
      <c r="K103">
        <v>129618.75</v>
      </c>
    </row>
    <row r="104" spans="1:11">
      <c r="A104">
        <v>103</v>
      </c>
      <c r="B104">
        <v>265</v>
      </c>
      <c r="C104" t="s">
        <v>40</v>
      </c>
      <c r="D104">
        <v>80</v>
      </c>
      <c r="E104" t="s">
        <v>9</v>
      </c>
      <c r="F104" t="s">
        <v>23</v>
      </c>
      <c r="G104" t="s">
        <v>11</v>
      </c>
      <c r="H104">
        <v>145</v>
      </c>
      <c r="I104">
        <v>2020</v>
      </c>
      <c r="J104" t="s">
        <v>18</v>
      </c>
      <c r="K104">
        <v>130821.25</v>
      </c>
    </row>
    <row r="105" spans="1:11">
      <c r="A105">
        <v>104</v>
      </c>
      <c r="B105">
        <v>457</v>
      </c>
      <c r="C105" t="s">
        <v>40</v>
      </c>
      <c r="D105">
        <v>80</v>
      </c>
      <c r="E105" t="s">
        <v>9</v>
      </c>
      <c r="F105" t="s">
        <v>19</v>
      </c>
      <c r="G105" t="s">
        <v>13</v>
      </c>
      <c r="H105">
        <v>210</v>
      </c>
      <c r="I105">
        <v>2022</v>
      </c>
      <c r="J105" t="s">
        <v>12</v>
      </c>
      <c r="K105">
        <v>131089.71</v>
      </c>
    </row>
    <row r="106" spans="1:11">
      <c r="A106">
        <v>105</v>
      </c>
      <c r="B106">
        <v>40</v>
      </c>
      <c r="C106" t="s">
        <v>40</v>
      </c>
      <c r="D106">
        <v>79</v>
      </c>
      <c r="E106" t="s">
        <v>9</v>
      </c>
      <c r="F106" t="s">
        <v>15</v>
      </c>
      <c r="G106" t="s">
        <v>11</v>
      </c>
      <c r="H106">
        <v>210</v>
      </c>
      <c r="I106">
        <v>2018</v>
      </c>
      <c r="J106" t="s">
        <v>12</v>
      </c>
      <c r="K106">
        <v>85397.52</v>
      </c>
    </row>
    <row r="107" spans="1:11">
      <c r="A107">
        <v>106</v>
      </c>
      <c r="B107">
        <v>71</v>
      </c>
      <c r="C107" t="s">
        <v>40</v>
      </c>
      <c r="D107">
        <v>79</v>
      </c>
      <c r="E107" t="s">
        <v>9</v>
      </c>
      <c r="F107" t="s">
        <v>23</v>
      </c>
      <c r="G107" t="s">
        <v>13</v>
      </c>
      <c r="H107">
        <v>205</v>
      </c>
      <c r="I107">
        <v>2018</v>
      </c>
      <c r="J107" t="s">
        <v>14</v>
      </c>
      <c r="K107">
        <v>85768.1</v>
      </c>
    </row>
    <row r="108" spans="1:11">
      <c r="A108">
        <v>107</v>
      </c>
      <c r="B108">
        <v>158</v>
      </c>
      <c r="C108" t="s">
        <v>40</v>
      </c>
      <c r="D108">
        <v>79</v>
      </c>
      <c r="E108" t="s">
        <v>9</v>
      </c>
      <c r="F108" t="s">
        <v>15</v>
      </c>
      <c r="G108" t="s">
        <v>11</v>
      </c>
      <c r="H108">
        <v>195</v>
      </c>
      <c r="I108">
        <v>2019</v>
      </c>
      <c r="J108" t="s">
        <v>18</v>
      </c>
      <c r="K108" s="1">
        <v>87548.04</v>
      </c>
    </row>
    <row r="109" spans="1:11">
      <c r="A109">
        <v>108</v>
      </c>
      <c r="B109">
        <v>238</v>
      </c>
      <c r="C109" t="s">
        <v>40</v>
      </c>
      <c r="D109">
        <v>79</v>
      </c>
      <c r="E109" t="s">
        <v>9</v>
      </c>
      <c r="F109" t="s">
        <v>19</v>
      </c>
      <c r="G109" t="s">
        <v>11</v>
      </c>
      <c r="H109">
        <v>170</v>
      </c>
      <c r="I109">
        <v>2019</v>
      </c>
      <c r="J109" t="s">
        <v>14</v>
      </c>
      <c r="K109">
        <v>91218.96</v>
      </c>
    </row>
    <row r="110" spans="1:11">
      <c r="A110">
        <v>109</v>
      </c>
      <c r="B110">
        <v>137</v>
      </c>
      <c r="C110" t="s">
        <v>40</v>
      </c>
      <c r="D110">
        <v>79</v>
      </c>
      <c r="E110" t="s">
        <v>9</v>
      </c>
      <c r="F110" t="s">
        <v>19</v>
      </c>
      <c r="G110" t="s">
        <v>11</v>
      </c>
      <c r="H110">
        <v>170</v>
      </c>
      <c r="I110">
        <v>2019</v>
      </c>
      <c r="J110" t="s">
        <v>12</v>
      </c>
      <c r="K110">
        <v>91494.36</v>
      </c>
    </row>
    <row r="111" spans="1:11">
      <c r="A111">
        <v>110</v>
      </c>
      <c r="B111">
        <v>125</v>
      </c>
      <c r="C111" t="s">
        <v>40</v>
      </c>
      <c r="D111">
        <v>79</v>
      </c>
      <c r="E111" t="s">
        <v>9</v>
      </c>
      <c r="F111" t="s">
        <v>15</v>
      </c>
      <c r="G111" t="s">
        <v>11</v>
      </c>
      <c r="H111">
        <v>165</v>
      </c>
      <c r="I111">
        <v>2019</v>
      </c>
      <c r="J111" t="s">
        <v>12</v>
      </c>
      <c r="K111">
        <v>91581.88</v>
      </c>
    </row>
    <row r="112" spans="1:11">
      <c r="A112">
        <v>111</v>
      </c>
      <c r="B112">
        <v>180</v>
      </c>
      <c r="C112" t="s">
        <v>40</v>
      </c>
      <c r="D112">
        <v>79</v>
      </c>
      <c r="E112" t="s">
        <v>9</v>
      </c>
      <c r="F112" t="s">
        <v>19</v>
      </c>
      <c r="G112" t="s">
        <v>11</v>
      </c>
      <c r="H112">
        <v>160</v>
      </c>
      <c r="I112">
        <v>2019</v>
      </c>
      <c r="J112" t="s">
        <v>14</v>
      </c>
      <c r="K112">
        <v>93024.8</v>
      </c>
    </row>
    <row r="113" spans="1:11">
      <c r="A113">
        <v>112</v>
      </c>
      <c r="B113">
        <v>91</v>
      </c>
      <c r="C113" t="s">
        <v>40</v>
      </c>
      <c r="D113">
        <v>79</v>
      </c>
      <c r="E113" t="s">
        <v>9</v>
      </c>
      <c r="F113" t="s">
        <v>15</v>
      </c>
      <c r="G113" t="s">
        <v>11</v>
      </c>
      <c r="H113">
        <v>210</v>
      </c>
      <c r="I113">
        <v>2018</v>
      </c>
      <c r="J113" t="s">
        <v>12</v>
      </c>
      <c r="K113">
        <v>95193.63</v>
      </c>
    </row>
    <row r="114" spans="1:11">
      <c r="A114">
        <v>113</v>
      </c>
      <c r="B114">
        <v>76</v>
      </c>
      <c r="C114" t="s">
        <v>40</v>
      </c>
      <c r="D114">
        <v>79</v>
      </c>
      <c r="E114" t="s">
        <v>9</v>
      </c>
      <c r="F114" t="s">
        <v>19</v>
      </c>
      <c r="G114" t="s">
        <v>11</v>
      </c>
      <c r="H114">
        <v>215</v>
      </c>
      <c r="I114">
        <v>2018</v>
      </c>
      <c r="J114" t="s">
        <v>14</v>
      </c>
      <c r="K114">
        <v>96011.45</v>
      </c>
    </row>
    <row r="115" spans="1:11">
      <c r="A115">
        <v>114</v>
      </c>
      <c r="B115">
        <v>144</v>
      </c>
      <c r="C115" t="s">
        <v>40</v>
      </c>
      <c r="D115">
        <v>79</v>
      </c>
      <c r="E115" t="s">
        <v>9</v>
      </c>
      <c r="F115" t="s">
        <v>19</v>
      </c>
      <c r="G115" t="s">
        <v>11</v>
      </c>
      <c r="H115">
        <v>185</v>
      </c>
      <c r="I115">
        <v>2019</v>
      </c>
      <c r="J115" t="s">
        <v>18</v>
      </c>
      <c r="K115" s="1">
        <v>96296.76</v>
      </c>
    </row>
    <row r="116" spans="1:11">
      <c r="A116">
        <v>115</v>
      </c>
      <c r="B116">
        <v>175</v>
      </c>
      <c r="C116" t="s">
        <v>40</v>
      </c>
      <c r="D116">
        <v>79</v>
      </c>
      <c r="E116" t="s">
        <v>9</v>
      </c>
      <c r="F116" t="s">
        <v>10</v>
      </c>
      <c r="G116" t="s">
        <v>13</v>
      </c>
      <c r="H116">
        <v>170</v>
      </c>
      <c r="I116">
        <v>2019</v>
      </c>
      <c r="J116" t="s">
        <v>12</v>
      </c>
      <c r="K116">
        <v>96691.32</v>
      </c>
    </row>
    <row r="117" spans="1:11">
      <c r="A117">
        <v>116</v>
      </c>
      <c r="B117">
        <v>15</v>
      </c>
      <c r="C117" t="s">
        <v>40</v>
      </c>
      <c r="D117">
        <v>79</v>
      </c>
      <c r="E117" t="s">
        <v>9</v>
      </c>
      <c r="F117" t="s">
        <v>10</v>
      </c>
      <c r="G117" t="s">
        <v>13</v>
      </c>
      <c r="H117">
        <v>240</v>
      </c>
      <c r="I117">
        <v>2017</v>
      </c>
      <c r="J117" t="s">
        <v>22</v>
      </c>
      <c r="K117">
        <v>102348</v>
      </c>
    </row>
    <row r="118" spans="1:11">
      <c r="A118">
        <v>117</v>
      </c>
      <c r="B118">
        <v>205</v>
      </c>
      <c r="C118" t="s">
        <v>40</v>
      </c>
      <c r="D118">
        <v>79</v>
      </c>
      <c r="E118" t="s">
        <v>9</v>
      </c>
      <c r="F118" t="s">
        <v>10</v>
      </c>
      <c r="G118" t="s">
        <v>13</v>
      </c>
      <c r="H118">
        <v>190</v>
      </c>
      <c r="I118">
        <v>2019</v>
      </c>
      <c r="J118" t="s">
        <v>22</v>
      </c>
      <c r="K118">
        <v>108537.64</v>
      </c>
    </row>
    <row r="119" spans="1:11">
      <c r="A119">
        <v>118</v>
      </c>
      <c r="B119">
        <v>181</v>
      </c>
      <c r="C119" t="s">
        <v>40</v>
      </c>
      <c r="D119">
        <v>79</v>
      </c>
      <c r="E119" t="s">
        <v>9</v>
      </c>
      <c r="F119" t="s">
        <v>19</v>
      </c>
      <c r="G119" t="s">
        <v>11</v>
      </c>
      <c r="H119">
        <v>180</v>
      </c>
      <c r="I119">
        <v>2019</v>
      </c>
      <c r="J119" t="s">
        <v>12</v>
      </c>
      <c r="K119" s="1">
        <v>109395.18</v>
      </c>
    </row>
    <row r="120" spans="1:11">
      <c r="A120">
        <v>119</v>
      </c>
      <c r="B120">
        <v>79</v>
      </c>
      <c r="C120" t="s">
        <v>40</v>
      </c>
      <c r="D120">
        <v>79</v>
      </c>
      <c r="E120" t="s">
        <v>9</v>
      </c>
      <c r="F120" t="s">
        <v>23</v>
      </c>
      <c r="G120" t="s">
        <v>13</v>
      </c>
      <c r="H120">
        <v>200</v>
      </c>
      <c r="I120">
        <v>2018</v>
      </c>
      <c r="J120" t="s">
        <v>22</v>
      </c>
      <c r="K120" s="1">
        <v>110904.15</v>
      </c>
    </row>
    <row r="121" spans="1:11">
      <c r="A121">
        <v>120</v>
      </c>
      <c r="B121">
        <v>385</v>
      </c>
      <c r="C121" t="s">
        <v>40</v>
      </c>
      <c r="D121">
        <v>79</v>
      </c>
      <c r="E121" t="s">
        <v>9</v>
      </c>
      <c r="F121" t="s">
        <v>10</v>
      </c>
      <c r="G121" t="s">
        <v>11</v>
      </c>
      <c r="H121">
        <v>100</v>
      </c>
      <c r="I121">
        <v>2021</v>
      </c>
      <c r="J121" t="s">
        <v>14</v>
      </c>
      <c r="K121">
        <v>111139.2</v>
      </c>
    </row>
    <row r="122" spans="1:11">
      <c r="A122">
        <v>121</v>
      </c>
      <c r="B122">
        <v>200</v>
      </c>
      <c r="C122" t="s">
        <v>40</v>
      </c>
      <c r="D122">
        <v>79</v>
      </c>
      <c r="E122" t="s">
        <v>9</v>
      </c>
      <c r="F122" t="s">
        <v>15</v>
      </c>
      <c r="G122" t="s">
        <v>11</v>
      </c>
      <c r="H122">
        <v>170</v>
      </c>
      <c r="I122">
        <v>2019</v>
      </c>
      <c r="J122" t="s">
        <v>12</v>
      </c>
      <c r="K122">
        <v>112470.6</v>
      </c>
    </row>
    <row r="123" spans="1:11">
      <c r="A123">
        <v>122</v>
      </c>
      <c r="B123">
        <v>165</v>
      </c>
      <c r="C123" t="s">
        <v>40</v>
      </c>
      <c r="D123">
        <v>79</v>
      </c>
      <c r="E123" t="s">
        <v>9</v>
      </c>
      <c r="F123" t="s">
        <v>15</v>
      </c>
      <c r="G123" t="s">
        <v>11</v>
      </c>
      <c r="H123">
        <v>160</v>
      </c>
      <c r="I123">
        <v>2019</v>
      </c>
      <c r="J123" t="s">
        <v>22</v>
      </c>
      <c r="K123">
        <v>112656.96000000001</v>
      </c>
    </row>
    <row r="124" spans="1:11">
      <c r="A124">
        <v>123</v>
      </c>
      <c r="B124">
        <v>207</v>
      </c>
      <c r="C124" t="s">
        <v>40</v>
      </c>
      <c r="D124">
        <v>79</v>
      </c>
      <c r="E124" t="s">
        <v>9</v>
      </c>
      <c r="F124" t="s">
        <v>17</v>
      </c>
      <c r="G124" t="s">
        <v>11</v>
      </c>
      <c r="H124">
        <v>180</v>
      </c>
      <c r="I124">
        <v>2019</v>
      </c>
      <c r="J124" t="s">
        <v>18</v>
      </c>
      <c r="K124" s="1">
        <v>115989.5</v>
      </c>
    </row>
    <row r="125" spans="1:11">
      <c r="A125">
        <v>124</v>
      </c>
      <c r="B125">
        <v>174</v>
      </c>
      <c r="C125" t="s">
        <v>40</v>
      </c>
      <c r="D125">
        <v>79</v>
      </c>
      <c r="E125" t="s">
        <v>9</v>
      </c>
      <c r="F125" t="s">
        <v>10</v>
      </c>
      <c r="G125" t="s">
        <v>13</v>
      </c>
      <c r="H125">
        <v>160</v>
      </c>
      <c r="I125">
        <v>2019</v>
      </c>
      <c r="J125" t="s">
        <v>22</v>
      </c>
      <c r="K125" s="1">
        <v>116846.28</v>
      </c>
    </row>
    <row r="126" spans="1:11">
      <c r="A126">
        <v>125</v>
      </c>
      <c r="B126">
        <v>301</v>
      </c>
      <c r="C126" t="s">
        <v>40</v>
      </c>
      <c r="D126">
        <v>79</v>
      </c>
      <c r="E126" t="s">
        <v>9</v>
      </c>
      <c r="F126" t="s">
        <v>23</v>
      </c>
      <c r="G126" t="s">
        <v>11</v>
      </c>
      <c r="H126">
        <v>110</v>
      </c>
      <c r="I126">
        <v>2021</v>
      </c>
      <c r="J126" t="s">
        <v>18</v>
      </c>
      <c r="K126" s="1">
        <v>120549.599999999</v>
      </c>
    </row>
    <row r="127" spans="1:11">
      <c r="A127">
        <v>126</v>
      </c>
      <c r="B127">
        <v>479</v>
      </c>
      <c r="C127" t="s">
        <v>40</v>
      </c>
      <c r="D127">
        <v>79</v>
      </c>
      <c r="E127" t="s">
        <v>9</v>
      </c>
      <c r="F127" t="s">
        <v>23</v>
      </c>
      <c r="G127" t="s">
        <v>11</v>
      </c>
      <c r="H127">
        <v>115</v>
      </c>
      <c r="I127">
        <v>2022</v>
      </c>
      <c r="J127" t="s">
        <v>14</v>
      </c>
      <c r="K127">
        <v>120790</v>
      </c>
    </row>
    <row r="128" spans="1:11">
      <c r="A128">
        <v>127</v>
      </c>
      <c r="B128">
        <v>299</v>
      </c>
      <c r="C128" t="s">
        <v>40</v>
      </c>
      <c r="D128">
        <v>79</v>
      </c>
      <c r="E128" t="s">
        <v>9</v>
      </c>
      <c r="F128" t="s">
        <v>10</v>
      </c>
      <c r="G128" t="s">
        <v>11</v>
      </c>
      <c r="H128">
        <v>105</v>
      </c>
      <c r="I128">
        <v>2021</v>
      </c>
      <c r="J128" t="s">
        <v>12</v>
      </c>
      <c r="K128" s="1">
        <v>121714.799999999</v>
      </c>
    </row>
    <row r="129" spans="1:11">
      <c r="A129">
        <v>128</v>
      </c>
      <c r="B129">
        <v>276</v>
      </c>
      <c r="C129" t="s">
        <v>40</v>
      </c>
      <c r="D129">
        <v>79</v>
      </c>
      <c r="E129" t="s">
        <v>9</v>
      </c>
      <c r="F129" t="s">
        <v>15</v>
      </c>
      <c r="G129" t="s">
        <v>11</v>
      </c>
      <c r="H129">
        <v>195</v>
      </c>
      <c r="I129">
        <v>2020</v>
      </c>
      <c r="J129" t="s">
        <v>18</v>
      </c>
      <c r="K129">
        <v>122871.25</v>
      </c>
    </row>
    <row r="130" spans="1:11">
      <c r="A130">
        <v>129</v>
      </c>
      <c r="B130">
        <v>260</v>
      </c>
      <c r="C130" t="s">
        <v>40</v>
      </c>
      <c r="D130">
        <v>79</v>
      </c>
      <c r="E130" t="s">
        <v>9</v>
      </c>
      <c r="F130" t="s">
        <v>15</v>
      </c>
      <c r="G130" t="s">
        <v>11</v>
      </c>
      <c r="H130">
        <v>160</v>
      </c>
      <c r="I130">
        <v>2020</v>
      </c>
      <c r="J130" t="s">
        <v>14</v>
      </c>
      <c r="K130">
        <v>134225</v>
      </c>
    </row>
    <row r="131" spans="1:11">
      <c r="A131">
        <v>130</v>
      </c>
      <c r="B131">
        <v>302</v>
      </c>
      <c r="C131" t="s">
        <v>40</v>
      </c>
      <c r="D131">
        <v>78</v>
      </c>
      <c r="E131" t="s">
        <v>9</v>
      </c>
      <c r="F131" t="s">
        <v>19</v>
      </c>
      <c r="G131" t="s">
        <v>11</v>
      </c>
      <c r="H131">
        <v>155</v>
      </c>
      <c r="I131">
        <v>2021</v>
      </c>
      <c r="J131" t="s">
        <v>14</v>
      </c>
      <c r="K131">
        <v>97730.4</v>
      </c>
    </row>
    <row r="132" spans="1:11">
      <c r="A132">
        <v>131</v>
      </c>
      <c r="B132">
        <v>450</v>
      </c>
      <c r="C132" t="s">
        <v>40</v>
      </c>
      <c r="D132">
        <v>78</v>
      </c>
      <c r="E132" t="s">
        <v>9</v>
      </c>
      <c r="F132" t="s">
        <v>23</v>
      </c>
      <c r="G132" t="s">
        <v>13</v>
      </c>
      <c r="H132">
        <v>145</v>
      </c>
      <c r="I132">
        <v>2022</v>
      </c>
      <c r="J132" t="s">
        <v>12</v>
      </c>
      <c r="K132">
        <v>100376.61</v>
      </c>
    </row>
    <row r="133" spans="1:11">
      <c r="A133">
        <v>132</v>
      </c>
      <c r="B133">
        <v>446</v>
      </c>
      <c r="C133" t="s">
        <v>40</v>
      </c>
      <c r="D133">
        <v>78</v>
      </c>
      <c r="E133" t="s">
        <v>9</v>
      </c>
      <c r="F133" t="s">
        <v>19</v>
      </c>
      <c r="G133" t="s">
        <v>11</v>
      </c>
      <c r="H133">
        <v>145</v>
      </c>
      <c r="I133">
        <v>2022</v>
      </c>
      <c r="J133" t="s">
        <v>14</v>
      </c>
      <c r="K133" s="1">
        <v>101815.709999999</v>
      </c>
    </row>
    <row r="134" spans="1:11">
      <c r="A134">
        <v>133</v>
      </c>
      <c r="B134">
        <v>453</v>
      </c>
      <c r="C134" t="s">
        <v>40</v>
      </c>
      <c r="D134">
        <v>78</v>
      </c>
      <c r="E134" t="s">
        <v>9</v>
      </c>
      <c r="F134" t="s">
        <v>15</v>
      </c>
      <c r="G134" t="s">
        <v>11</v>
      </c>
      <c r="H134">
        <v>135</v>
      </c>
      <c r="I134">
        <v>2022</v>
      </c>
      <c r="J134" t="s">
        <v>14</v>
      </c>
      <c r="K134">
        <v>110011.2</v>
      </c>
    </row>
    <row r="135" spans="1:11">
      <c r="A135">
        <v>134</v>
      </c>
      <c r="B135">
        <v>334</v>
      </c>
      <c r="C135" t="s">
        <v>40</v>
      </c>
      <c r="D135">
        <v>78</v>
      </c>
      <c r="E135" t="s">
        <v>9</v>
      </c>
      <c r="F135" t="s">
        <v>19</v>
      </c>
      <c r="G135" t="s">
        <v>11</v>
      </c>
      <c r="H135">
        <v>150</v>
      </c>
      <c r="I135">
        <v>2021</v>
      </c>
      <c r="J135" t="s">
        <v>12</v>
      </c>
      <c r="K135">
        <v>112645.2</v>
      </c>
    </row>
    <row r="136" spans="1:11">
      <c r="A136">
        <v>135</v>
      </c>
      <c r="B136">
        <v>477</v>
      </c>
      <c r="C136" t="s">
        <v>40</v>
      </c>
      <c r="D136">
        <v>78</v>
      </c>
      <c r="E136" t="s">
        <v>9</v>
      </c>
      <c r="F136" t="s">
        <v>19</v>
      </c>
      <c r="G136" t="s">
        <v>11</v>
      </c>
      <c r="H136">
        <v>155</v>
      </c>
      <c r="I136">
        <v>2022</v>
      </c>
      <c r="J136" t="s">
        <v>12</v>
      </c>
      <c r="K136">
        <v>113855</v>
      </c>
    </row>
    <row r="137" spans="1:11">
      <c r="A137">
        <v>136</v>
      </c>
      <c r="B137">
        <v>281</v>
      </c>
      <c r="C137" t="s">
        <v>40</v>
      </c>
      <c r="D137">
        <v>78</v>
      </c>
      <c r="E137" t="s">
        <v>9</v>
      </c>
      <c r="F137" t="s">
        <v>15</v>
      </c>
      <c r="G137" t="s">
        <v>11</v>
      </c>
      <c r="H137">
        <v>130</v>
      </c>
      <c r="I137">
        <v>2021</v>
      </c>
      <c r="J137" t="s">
        <v>12</v>
      </c>
      <c r="K137" s="1">
        <v>127181.579999999</v>
      </c>
    </row>
    <row r="138" spans="1:11">
      <c r="A138">
        <v>137</v>
      </c>
      <c r="B138">
        <v>330</v>
      </c>
      <c r="C138" t="s">
        <v>40</v>
      </c>
      <c r="D138">
        <v>78</v>
      </c>
      <c r="E138" t="s">
        <v>9</v>
      </c>
      <c r="F138" t="s">
        <v>15</v>
      </c>
      <c r="G138" t="s">
        <v>11</v>
      </c>
      <c r="H138">
        <v>125</v>
      </c>
      <c r="I138">
        <v>2021</v>
      </c>
      <c r="J138" t="s">
        <v>22</v>
      </c>
      <c r="K138">
        <v>131312.4</v>
      </c>
    </row>
    <row r="139" spans="1:11">
      <c r="A139">
        <v>138</v>
      </c>
      <c r="B139">
        <v>487</v>
      </c>
      <c r="C139" t="s">
        <v>40</v>
      </c>
      <c r="D139">
        <v>78</v>
      </c>
      <c r="E139" t="s">
        <v>9</v>
      </c>
      <c r="F139" t="s">
        <v>15</v>
      </c>
      <c r="G139" t="s">
        <v>11</v>
      </c>
      <c r="H139">
        <v>135</v>
      </c>
      <c r="I139">
        <v>2022</v>
      </c>
      <c r="J139" t="s">
        <v>12</v>
      </c>
      <c r="K139">
        <v>133226.25</v>
      </c>
    </row>
    <row r="140" spans="1:11">
      <c r="A140">
        <v>139</v>
      </c>
      <c r="B140">
        <v>110</v>
      </c>
      <c r="C140" t="s">
        <v>40</v>
      </c>
      <c r="D140">
        <v>77</v>
      </c>
      <c r="E140" t="s">
        <v>9</v>
      </c>
      <c r="F140" t="s">
        <v>23</v>
      </c>
      <c r="G140" t="s">
        <v>11</v>
      </c>
      <c r="H140">
        <v>135</v>
      </c>
      <c r="I140">
        <v>2018</v>
      </c>
      <c r="J140" t="s">
        <v>14</v>
      </c>
      <c r="K140">
        <v>83491.8</v>
      </c>
    </row>
    <row r="141" spans="1:11">
      <c r="A141">
        <v>140</v>
      </c>
      <c r="B141">
        <v>64</v>
      </c>
      <c r="C141" t="s">
        <v>40</v>
      </c>
      <c r="D141">
        <v>77</v>
      </c>
      <c r="E141" t="s">
        <v>9</v>
      </c>
      <c r="F141" t="s">
        <v>10</v>
      </c>
      <c r="G141" t="s">
        <v>11</v>
      </c>
      <c r="H141">
        <v>125</v>
      </c>
      <c r="I141">
        <v>2018</v>
      </c>
      <c r="J141" t="s">
        <v>22</v>
      </c>
      <c r="K141">
        <v>85485.92</v>
      </c>
    </row>
    <row r="142" spans="1:11">
      <c r="A142">
        <v>141</v>
      </c>
      <c r="B142">
        <v>8</v>
      </c>
      <c r="C142" t="s">
        <v>40</v>
      </c>
      <c r="D142">
        <v>77</v>
      </c>
      <c r="E142" t="s">
        <v>9</v>
      </c>
      <c r="F142" t="s">
        <v>10</v>
      </c>
      <c r="G142" t="s">
        <v>11</v>
      </c>
      <c r="H142">
        <v>125</v>
      </c>
      <c r="I142">
        <v>2017</v>
      </c>
      <c r="J142" t="s">
        <v>22</v>
      </c>
      <c r="K142">
        <v>87868</v>
      </c>
    </row>
    <row r="143" spans="1:11">
      <c r="A143">
        <v>142</v>
      </c>
      <c r="B143">
        <v>35</v>
      </c>
      <c r="C143" t="s">
        <v>40</v>
      </c>
      <c r="D143">
        <v>77</v>
      </c>
      <c r="E143" t="s">
        <v>9</v>
      </c>
      <c r="F143" t="s">
        <v>23</v>
      </c>
      <c r="G143" t="s">
        <v>11</v>
      </c>
      <c r="H143">
        <v>145</v>
      </c>
      <c r="I143">
        <v>2017</v>
      </c>
      <c r="J143" t="s">
        <v>22</v>
      </c>
      <c r="K143">
        <v>90675</v>
      </c>
    </row>
    <row r="144" spans="1:11">
      <c r="A144">
        <v>143</v>
      </c>
      <c r="B144">
        <v>300</v>
      </c>
      <c r="C144" t="s">
        <v>40</v>
      </c>
      <c r="D144">
        <v>77</v>
      </c>
      <c r="E144" t="s">
        <v>9</v>
      </c>
      <c r="F144" t="s">
        <v>15</v>
      </c>
      <c r="G144" t="s">
        <v>13</v>
      </c>
      <c r="H144">
        <v>190</v>
      </c>
      <c r="I144">
        <v>2021</v>
      </c>
      <c r="J144" t="s">
        <v>22</v>
      </c>
      <c r="K144" s="1">
        <v>98055.599999999904</v>
      </c>
    </row>
    <row r="145" spans="1:11">
      <c r="A145">
        <v>144</v>
      </c>
      <c r="B145">
        <v>355</v>
      </c>
      <c r="C145" t="s">
        <v>40</v>
      </c>
      <c r="D145">
        <v>77</v>
      </c>
      <c r="E145" t="s">
        <v>9</v>
      </c>
      <c r="F145" t="s">
        <v>19</v>
      </c>
      <c r="G145" t="s">
        <v>13</v>
      </c>
      <c r="H145">
        <v>195</v>
      </c>
      <c r="I145">
        <v>2021</v>
      </c>
      <c r="J145" t="s">
        <v>14</v>
      </c>
      <c r="K145">
        <v>98618.4</v>
      </c>
    </row>
    <row r="146" spans="1:11">
      <c r="A146">
        <v>145</v>
      </c>
      <c r="B146">
        <v>327</v>
      </c>
      <c r="C146" t="s">
        <v>40</v>
      </c>
      <c r="D146">
        <v>77</v>
      </c>
      <c r="E146" t="s">
        <v>9</v>
      </c>
      <c r="F146" t="s">
        <v>15</v>
      </c>
      <c r="G146" t="s">
        <v>13</v>
      </c>
      <c r="H146">
        <v>175</v>
      </c>
      <c r="I146">
        <v>2021</v>
      </c>
      <c r="J146" t="s">
        <v>22</v>
      </c>
      <c r="K146">
        <v>103276.8</v>
      </c>
    </row>
    <row r="147" spans="1:11">
      <c r="A147">
        <v>146</v>
      </c>
      <c r="B147">
        <v>178</v>
      </c>
      <c r="C147" t="s">
        <v>40</v>
      </c>
      <c r="D147">
        <v>77</v>
      </c>
      <c r="E147" t="s">
        <v>9</v>
      </c>
      <c r="F147" t="s">
        <v>19</v>
      </c>
      <c r="G147" t="s">
        <v>13</v>
      </c>
      <c r="H147">
        <v>205</v>
      </c>
      <c r="I147">
        <v>2019</v>
      </c>
      <c r="J147" t="s">
        <v>22</v>
      </c>
      <c r="K147">
        <v>108794.88</v>
      </c>
    </row>
    <row r="148" spans="1:11">
      <c r="A148">
        <v>147</v>
      </c>
      <c r="B148">
        <v>489</v>
      </c>
      <c r="C148" t="s">
        <v>40</v>
      </c>
      <c r="D148">
        <v>77</v>
      </c>
      <c r="E148" t="s">
        <v>9</v>
      </c>
      <c r="F148" t="s">
        <v>17</v>
      </c>
      <c r="G148" t="s">
        <v>13</v>
      </c>
      <c r="H148">
        <v>160</v>
      </c>
      <c r="I148">
        <v>2022</v>
      </c>
      <c r="J148" t="s">
        <v>22</v>
      </c>
      <c r="K148">
        <v>113731.25</v>
      </c>
    </row>
    <row r="149" spans="1:11">
      <c r="A149">
        <v>148</v>
      </c>
      <c r="B149">
        <v>348</v>
      </c>
      <c r="C149" t="s">
        <v>40</v>
      </c>
      <c r="D149">
        <v>77</v>
      </c>
      <c r="E149" t="s">
        <v>9</v>
      </c>
      <c r="F149" t="s">
        <v>15</v>
      </c>
      <c r="G149" t="s">
        <v>13</v>
      </c>
      <c r="H149">
        <v>185</v>
      </c>
      <c r="I149">
        <v>2021</v>
      </c>
      <c r="J149" t="s">
        <v>22</v>
      </c>
      <c r="K149">
        <v>123667.2</v>
      </c>
    </row>
    <row r="150" spans="1:11">
      <c r="A150">
        <v>149</v>
      </c>
      <c r="B150">
        <v>1</v>
      </c>
      <c r="C150" t="s">
        <v>40</v>
      </c>
      <c r="D150">
        <v>76</v>
      </c>
      <c r="E150" t="s">
        <v>9</v>
      </c>
      <c r="F150" t="s">
        <v>15</v>
      </c>
      <c r="G150" t="s">
        <v>11</v>
      </c>
      <c r="H150">
        <v>180</v>
      </c>
      <c r="I150">
        <v>2017</v>
      </c>
      <c r="J150" t="s">
        <v>14</v>
      </c>
      <c r="K150">
        <v>45713</v>
      </c>
    </row>
    <row r="151" spans="1:11">
      <c r="A151">
        <v>150</v>
      </c>
      <c r="B151">
        <v>116</v>
      </c>
      <c r="C151" t="s">
        <v>40</v>
      </c>
      <c r="D151">
        <v>76</v>
      </c>
      <c r="E151" t="s">
        <v>9</v>
      </c>
      <c r="F151" t="s">
        <v>15</v>
      </c>
      <c r="G151" t="s">
        <v>11</v>
      </c>
      <c r="H151">
        <v>160</v>
      </c>
      <c r="I151">
        <v>2018</v>
      </c>
      <c r="J151" t="s">
        <v>14</v>
      </c>
      <c r="K151">
        <v>89028.160000000003</v>
      </c>
    </row>
    <row r="152" spans="1:11">
      <c r="A152">
        <v>151</v>
      </c>
      <c r="B152">
        <v>69</v>
      </c>
      <c r="C152" t="s">
        <v>40</v>
      </c>
      <c r="D152">
        <v>76</v>
      </c>
      <c r="E152" t="s">
        <v>9</v>
      </c>
      <c r="F152" t="s">
        <v>19</v>
      </c>
      <c r="G152" t="s">
        <v>11</v>
      </c>
      <c r="H152">
        <v>165</v>
      </c>
      <c r="I152">
        <v>2018</v>
      </c>
      <c r="J152" t="s">
        <v>14</v>
      </c>
      <c r="K152">
        <v>92378</v>
      </c>
    </row>
    <row r="153" spans="1:11">
      <c r="A153">
        <v>152</v>
      </c>
      <c r="B153">
        <v>72</v>
      </c>
      <c r="C153" t="s">
        <v>40</v>
      </c>
      <c r="D153">
        <v>76</v>
      </c>
      <c r="E153" t="s">
        <v>9</v>
      </c>
      <c r="F153" t="s">
        <v>17</v>
      </c>
      <c r="G153" t="s">
        <v>11</v>
      </c>
      <c r="H153">
        <v>190</v>
      </c>
      <c r="I153">
        <v>2018</v>
      </c>
      <c r="J153" t="s">
        <v>14</v>
      </c>
      <c r="K153">
        <v>94441.36</v>
      </c>
    </row>
    <row r="154" spans="1:11">
      <c r="A154">
        <v>153</v>
      </c>
      <c r="B154">
        <v>114</v>
      </c>
      <c r="C154" t="s">
        <v>40</v>
      </c>
      <c r="D154">
        <v>76</v>
      </c>
      <c r="E154" t="s">
        <v>9</v>
      </c>
      <c r="F154" t="s">
        <v>23</v>
      </c>
      <c r="G154" t="s">
        <v>13</v>
      </c>
      <c r="H154">
        <v>185</v>
      </c>
      <c r="I154">
        <v>2018</v>
      </c>
      <c r="J154" t="s">
        <v>22</v>
      </c>
      <c r="K154">
        <v>101104.8</v>
      </c>
    </row>
    <row r="155" spans="1:11">
      <c r="A155">
        <v>154</v>
      </c>
      <c r="B155">
        <v>274</v>
      </c>
      <c r="C155" t="s">
        <v>40</v>
      </c>
      <c r="D155">
        <v>76</v>
      </c>
      <c r="E155" t="s">
        <v>9</v>
      </c>
      <c r="F155" t="s">
        <v>10</v>
      </c>
      <c r="G155" t="s">
        <v>11</v>
      </c>
      <c r="H155">
        <v>105</v>
      </c>
      <c r="I155">
        <v>2020</v>
      </c>
      <c r="J155" t="s">
        <v>22</v>
      </c>
      <c r="K155">
        <v>104562.5</v>
      </c>
    </row>
    <row r="156" spans="1:11">
      <c r="A156">
        <v>155</v>
      </c>
      <c r="B156">
        <v>21</v>
      </c>
      <c r="C156" t="s">
        <v>40</v>
      </c>
      <c r="D156">
        <v>76</v>
      </c>
      <c r="E156" t="s">
        <v>9</v>
      </c>
      <c r="F156" t="s">
        <v>19</v>
      </c>
      <c r="G156" t="s">
        <v>11</v>
      </c>
      <c r="H156">
        <v>175</v>
      </c>
      <c r="I156">
        <v>2017</v>
      </c>
      <c r="J156" t="s">
        <v>12</v>
      </c>
      <c r="K156">
        <v>104788</v>
      </c>
    </row>
    <row r="157" spans="1:11">
      <c r="A157">
        <v>156</v>
      </c>
      <c r="B157">
        <v>26</v>
      </c>
      <c r="C157" t="s">
        <v>40</v>
      </c>
      <c r="D157">
        <v>76</v>
      </c>
      <c r="E157" t="s">
        <v>9</v>
      </c>
      <c r="F157" t="s">
        <v>17</v>
      </c>
      <c r="G157" t="s">
        <v>11</v>
      </c>
      <c r="H157">
        <v>190</v>
      </c>
      <c r="I157">
        <v>2017</v>
      </c>
      <c r="J157" t="s">
        <v>12</v>
      </c>
      <c r="K157">
        <v>105910</v>
      </c>
    </row>
    <row r="158" spans="1:11">
      <c r="A158">
        <v>157</v>
      </c>
      <c r="B158">
        <v>106</v>
      </c>
      <c r="C158" t="s">
        <v>40</v>
      </c>
      <c r="D158">
        <v>76</v>
      </c>
      <c r="E158" t="s">
        <v>9</v>
      </c>
      <c r="F158" t="s">
        <v>15</v>
      </c>
      <c r="G158" t="s">
        <v>11</v>
      </c>
      <c r="H158">
        <v>160</v>
      </c>
      <c r="I158">
        <v>2018</v>
      </c>
      <c r="J158" t="s">
        <v>14</v>
      </c>
      <c r="K158">
        <v>106111.63</v>
      </c>
    </row>
    <row r="159" spans="1:11">
      <c r="A159">
        <v>158</v>
      </c>
      <c r="B159">
        <v>397</v>
      </c>
      <c r="C159" t="s">
        <v>40</v>
      </c>
      <c r="D159">
        <v>75</v>
      </c>
      <c r="E159" t="s">
        <v>16</v>
      </c>
      <c r="F159" t="s">
        <v>10</v>
      </c>
      <c r="G159" t="s">
        <v>11</v>
      </c>
      <c r="H159">
        <v>220</v>
      </c>
      <c r="I159">
        <v>2021</v>
      </c>
      <c r="J159" t="s">
        <v>22</v>
      </c>
      <c r="K159">
        <v>27312</v>
      </c>
    </row>
    <row r="160" spans="1:11">
      <c r="A160">
        <v>159</v>
      </c>
      <c r="B160">
        <v>445</v>
      </c>
      <c r="C160" t="s">
        <v>40</v>
      </c>
      <c r="D160">
        <v>75</v>
      </c>
      <c r="E160" t="s">
        <v>16</v>
      </c>
      <c r="F160" t="s">
        <v>23</v>
      </c>
      <c r="G160" t="s">
        <v>11</v>
      </c>
      <c r="H160">
        <v>210</v>
      </c>
      <c r="I160">
        <v>2022</v>
      </c>
      <c r="J160" t="s">
        <v>22</v>
      </c>
      <c r="K160">
        <v>32845.919999999998</v>
      </c>
    </row>
    <row r="161" spans="1:11">
      <c r="A161">
        <v>160</v>
      </c>
      <c r="B161">
        <v>292</v>
      </c>
      <c r="C161" t="s">
        <v>40</v>
      </c>
      <c r="D161">
        <v>75</v>
      </c>
      <c r="E161" t="s">
        <v>16</v>
      </c>
      <c r="F161" t="s">
        <v>23</v>
      </c>
      <c r="G161" t="s">
        <v>11</v>
      </c>
      <c r="H161">
        <v>215</v>
      </c>
      <c r="I161">
        <v>2021</v>
      </c>
      <c r="J161" t="s">
        <v>12</v>
      </c>
      <c r="K161" s="1">
        <v>36832.799999999901</v>
      </c>
    </row>
    <row r="162" spans="1:11">
      <c r="A162">
        <v>161</v>
      </c>
      <c r="B162">
        <v>412</v>
      </c>
      <c r="C162" t="s">
        <v>40</v>
      </c>
      <c r="D162">
        <v>75</v>
      </c>
      <c r="E162" t="s">
        <v>16</v>
      </c>
      <c r="F162" t="s">
        <v>23</v>
      </c>
      <c r="G162" t="s">
        <v>11</v>
      </c>
      <c r="H162">
        <v>230</v>
      </c>
      <c r="I162">
        <v>2022</v>
      </c>
      <c r="J162" t="s">
        <v>12</v>
      </c>
      <c r="K162">
        <v>37924.589999999997</v>
      </c>
    </row>
    <row r="163" spans="1:11">
      <c r="A163">
        <v>162</v>
      </c>
      <c r="B163">
        <v>442</v>
      </c>
      <c r="C163" t="s">
        <v>40</v>
      </c>
      <c r="D163">
        <v>75</v>
      </c>
      <c r="E163" t="s">
        <v>16</v>
      </c>
      <c r="F163" t="s">
        <v>10</v>
      </c>
      <c r="G163" t="s">
        <v>11</v>
      </c>
      <c r="H163">
        <v>225</v>
      </c>
      <c r="I163">
        <v>2022</v>
      </c>
      <c r="J163" t="s">
        <v>22</v>
      </c>
      <c r="K163">
        <v>38244.39</v>
      </c>
    </row>
    <row r="164" spans="1:11">
      <c r="A164">
        <v>163</v>
      </c>
      <c r="B164">
        <v>309</v>
      </c>
      <c r="C164" t="s">
        <v>40</v>
      </c>
      <c r="D164">
        <v>75</v>
      </c>
      <c r="E164" t="s">
        <v>16</v>
      </c>
      <c r="F164" t="s">
        <v>23</v>
      </c>
      <c r="G164" t="s">
        <v>11</v>
      </c>
      <c r="H164">
        <v>205</v>
      </c>
      <c r="I164">
        <v>2021</v>
      </c>
      <c r="J164" t="s">
        <v>12</v>
      </c>
      <c r="K164">
        <v>41137.199999999997</v>
      </c>
    </row>
    <row r="165" spans="1:11">
      <c r="A165">
        <v>164</v>
      </c>
      <c r="B165">
        <v>460</v>
      </c>
      <c r="C165" t="s">
        <v>40</v>
      </c>
      <c r="D165">
        <v>75</v>
      </c>
      <c r="E165" t="s">
        <v>16</v>
      </c>
      <c r="F165" t="s">
        <v>23</v>
      </c>
      <c r="G165" t="s">
        <v>11</v>
      </c>
      <c r="H165">
        <v>205</v>
      </c>
      <c r="I165">
        <v>2022</v>
      </c>
      <c r="J165" t="s">
        <v>22</v>
      </c>
      <c r="K165">
        <v>41480.519999999997</v>
      </c>
    </row>
    <row r="166" spans="1:11">
      <c r="A166">
        <v>165</v>
      </c>
      <c r="B166">
        <v>444</v>
      </c>
      <c r="C166" t="s">
        <v>40</v>
      </c>
      <c r="D166">
        <v>75</v>
      </c>
      <c r="E166" t="s">
        <v>16</v>
      </c>
      <c r="F166" t="s">
        <v>10</v>
      </c>
      <c r="G166" t="s">
        <v>11</v>
      </c>
      <c r="H166">
        <v>235</v>
      </c>
      <c r="I166">
        <v>2022</v>
      </c>
      <c r="J166" t="s">
        <v>14</v>
      </c>
      <c r="K166">
        <v>47862.99</v>
      </c>
    </row>
    <row r="167" spans="1:11">
      <c r="A167">
        <v>166</v>
      </c>
      <c r="B167">
        <v>224</v>
      </c>
      <c r="C167" t="s">
        <v>40</v>
      </c>
      <c r="D167">
        <v>75</v>
      </c>
      <c r="E167" t="s">
        <v>9</v>
      </c>
      <c r="F167" t="s">
        <v>15</v>
      </c>
      <c r="G167" t="s">
        <v>11</v>
      </c>
      <c r="H167">
        <v>135</v>
      </c>
      <c r="I167">
        <v>2019</v>
      </c>
      <c r="J167" t="s">
        <v>22</v>
      </c>
      <c r="K167" s="1">
        <v>95760.4</v>
      </c>
    </row>
    <row r="168" spans="1:11">
      <c r="A168">
        <v>167</v>
      </c>
      <c r="B168">
        <v>264</v>
      </c>
      <c r="C168" t="s">
        <v>40</v>
      </c>
      <c r="D168">
        <v>75</v>
      </c>
      <c r="E168" t="s">
        <v>9</v>
      </c>
      <c r="F168" t="s">
        <v>17</v>
      </c>
      <c r="G168" t="s">
        <v>11</v>
      </c>
      <c r="H168">
        <v>130</v>
      </c>
      <c r="I168">
        <v>2020</v>
      </c>
      <c r="J168" t="s">
        <v>22</v>
      </c>
      <c r="K168">
        <v>102783.75</v>
      </c>
    </row>
    <row r="169" spans="1:11">
      <c r="A169">
        <v>168</v>
      </c>
      <c r="B169">
        <v>155</v>
      </c>
      <c r="C169" t="s">
        <v>40</v>
      </c>
      <c r="D169">
        <v>75</v>
      </c>
      <c r="E169" t="s">
        <v>9</v>
      </c>
      <c r="F169" t="s">
        <v>10</v>
      </c>
      <c r="G169" t="s">
        <v>13</v>
      </c>
      <c r="H169">
        <v>125</v>
      </c>
      <c r="I169">
        <v>2019</v>
      </c>
      <c r="J169" t="s">
        <v>22</v>
      </c>
      <c r="K169">
        <v>103926.64</v>
      </c>
    </row>
    <row r="170" spans="1:11">
      <c r="A170">
        <v>169</v>
      </c>
      <c r="B170">
        <v>241</v>
      </c>
      <c r="C170" t="s">
        <v>40</v>
      </c>
      <c r="D170">
        <v>75</v>
      </c>
      <c r="E170" t="s">
        <v>9</v>
      </c>
      <c r="F170" t="s">
        <v>19</v>
      </c>
      <c r="G170" t="s">
        <v>11</v>
      </c>
      <c r="H170">
        <v>155</v>
      </c>
      <c r="I170">
        <v>2019</v>
      </c>
      <c r="J170" t="s">
        <v>18</v>
      </c>
      <c r="K170">
        <v>109946.16</v>
      </c>
    </row>
    <row r="171" spans="1:11">
      <c r="A171">
        <v>170</v>
      </c>
      <c r="B171">
        <v>188</v>
      </c>
      <c r="C171" t="s">
        <v>40</v>
      </c>
      <c r="D171">
        <v>75</v>
      </c>
      <c r="E171" t="s">
        <v>9</v>
      </c>
      <c r="F171" t="s">
        <v>10</v>
      </c>
      <c r="G171" t="s">
        <v>13</v>
      </c>
      <c r="H171">
        <v>125</v>
      </c>
      <c r="I171">
        <v>2019</v>
      </c>
      <c r="J171" t="s">
        <v>22</v>
      </c>
      <c r="K171">
        <v>112683.3</v>
      </c>
    </row>
    <row r="172" spans="1:11">
      <c r="A172">
        <v>171</v>
      </c>
      <c r="B172">
        <v>131</v>
      </c>
      <c r="C172" t="s">
        <v>40</v>
      </c>
      <c r="D172">
        <v>75</v>
      </c>
      <c r="E172" t="s">
        <v>9</v>
      </c>
      <c r="F172" t="s">
        <v>23</v>
      </c>
      <c r="G172" t="s">
        <v>13</v>
      </c>
      <c r="H172">
        <v>135</v>
      </c>
      <c r="I172">
        <v>2019</v>
      </c>
      <c r="J172" t="s">
        <v>18</v>
      </c>
      <c r="K172">
        <v>116247.96</v>
      </c>
    </row>
    <row r="173" spans="1:11">
      <c r="A173">
        <v>172</v>
      </c>
      <c r="B173">
        <v>164</v>
      </c>
      <c r="C173" t="s">
        <v>40</v>
      </c>
      <c r="D173">
        <v>74</v>
      </c>
      <c r="E173" t="s">
        <v>9</v>
      </c>
      <c r="F173" t="s">
        <v>19</v>
      </c>
      <c r="G173" t="s">
        <v>13</v>
      </c>
      <c r="H173">
        <v>185</v>
      </c>
      <c r="I173">
        <v>2019</v>
      </c>
      <c r="J173" t="s">
        <v>22</v>
      </c>
      <c r="K173">
        <v>94298.66</v>
      </c>
    </row>
    <row r="174" spans="1:11">
      <c r="A174">
        <v>173</v>
      </c>
      <c r="B174">
        <v>332</v>
      </c>
      <c r="C174" t="s">
        <v>40</v>
      </c>
      <c r="D174">
        <v>74</v>
      </c>
      <c r="E174" t="s">
        <v>9</v>
      </c>
      <c r="F174" t="s">
        <v>15</v>
      </c>
      <c r="G174" t="s">
        <v>11</v>
      </c>
      <c r="H174">
        <v>115</v>
      </c>
      <c r="I174">
        <v>2021</v>
      </c>
      <c r="J174" t="s">
        <v>14</v>
      </c>
      <c r="K174">
        <v>97030.8</v>
      </c>
    </row>
    <row r="175" spans="1:11">
      <c r="A175">
        <v>174</v>
      </c>
      <c r="B175">
        <v>122</v>
      </c>
      <c r="C175" t="s">
        <v>40</v>
      </c>
      <c r="D175">
        <v>74</v>
      </c>
      <c r="E175" t="s">
        <v>9</v>
      </c>
      <c r="F175" t="s">
        <v>15</v>
      </c>
      <c r="G175" t="s">
        <v>13</v>
      </c>
      <c r="H175">
        <v>185</v>
      </c>
      <c r="I175">
        <v>2019</v>
      </c>
      <c r="J175" t="s">
        <v>22</v>
      </c>
      <c r="K175" s="1">
        <v>102498</v>
      </c>
    </row>
    <row r="176" spans="1:11">
      <c r="A176">
        <v>175</v>
      </c>
      <c r="B176">
        <v>320</v>
      </c>
      <c r="C176" t="s">
        <v>40</v>
      </c>
      <c r="D176">
        <v>74</v>
      </c>
      <c r="E176" t="s">
        <v>9</v>
      </c>
      <c r="F176" t="s">
        <v>10</v>
      </c>
      <c r="G176" t="s">
        <v>13</v>
      </c>
      <c r="H176">
        <v>90</v>
      </c>
      <c r="I176">
        <v>2021</v>
      </c>
      <c r="J176" t="s">
        <v>14</v>
      </c>
      <c r="K176">
        <v>102979.2</v>
      </c>
    </row>
    <row r="177" spans="1:11">
      <c r="A177">
        <v>176</v>
      </c>
      <c r="B177">
        <v>142</v>
      </c>
      <c r="C177" t="s">
        <v>40</v>
      </c>
      <c r="D177">
        <v>74</v>
      </c>
      <c r="E177" t="s">
        <v>9</v>
      </c>
      <c r="F177" t="s">
        <v>19</v>
      </c>
      <c r="G177" t="s">
        <v>13</v>
      </c>
      <c r="H177">
        <v>175</v>
      </c>
      <c r="I177">
        <v>2019</v>
      </c>
      <c r="J177" t="s">
        <v>14</v>
      </c>
      <c r="K177">
        <v>104130.16</v>
      </c>
    </row>
    <row r="178" spans="1:11">
      <c r="A178">
        <v>177</v>
      </c>
      <c r="B178">
        <v>379</v>
      </c>
      <c r="C178" t="s">
        <v>40</v>
      </c>
      <c r="D178">
        <v>74</v>
      </c>
      <c r="E178" t="s">
        <v>9</v>
      </c>
      <c r="F178" t="s">
        <v>15</v>
      </c>
      <c r="G178" t="s">
        <v>11</v>
      </c>
      <c r="H178">
        <v>100</v>
      </c>
      <c r="I178">
        <v>2021</v>
      </c>
      <c r="J178" t="s">
        <v>14</v>
      </c>
      <c r="K178">
        <v>104562</v>
      </c>
    </row>
    <row r="179" spans="1:11">
      <c r="A179">
        <v>178</v>
      </c>
      <c r="B179">
        <v>93</v>
      </c>
      <c r="C179" t="s">
        <v>40</v>
      </c>
      <c r="D179">
        <v>74</v>
      </c>
      <c r="E179" t="s">
        <v>9</v>
      </c>
      <c r="F179" t="s">
        <v>17</v>
      </c>
      <c r="G179" t="s">
        <v>13</v>
      </c>
      <c r="H179">
        <v>225</v>
      </c>
      <c r="I179">
        <v>2018</v>
      </c>
      <c r="J179" t="s">
        <v>14</v>
      </c>
      <c r="K179">
        <v>109950.88</v>
      </c>
    </row>
    <row r="180" spans="1:11">
      <c r="A180">
        <v>179</v>
      </c>
      <c r="B180">
        <v>318</v>
      </c>
      <c r="C180" t="s">
        <v>40</v>
      </c>
      <c r="D180">
        <v>74</v>
      </c>
      <c r="E180" t="s">
        <v>9</v>
      </c>
      <c r="F180" t="s">
        <v>15</v>
      </c>
      <c r="G180" t="s">
        <v>11</v>
      </c>
      <c r="H180">
        <v>90</v>
      </c>
      <c r="I180">
        <v>2021</v>
      </c>
      <c r="J180" t="s">
        <v>12</v>
      </c>
      <c r="K180" s="1">
        <v>127162.799999999</v>
      </c>
    </row>
    <row r="181" spans="1:11">
      <c r="A181">
        <v>180</v>
      </c>
      <c r="B181">
        <v>459</v>
      </c>
      <c r="C181" t="s">
        <v>40</v>
      </c>
      <c r="D181">
        <v>74</v>
      </c>
      <c r="E181" t="s">
        <v>9</v>
      </c>
      <c r="F181" t="s">
        <v>19</v>
      </c>
      <c r="G181" t="s">
        <v>11</v>
      </c>
      <c r="H181">
        <v>110</v>
      </c>
      <c r="I181">
        <v>2022</v>
      </c>
      <c r="J181" t="s">
        <v>18</v>
      </c>
      <c r="K181">
        <v>132718.23000000001</v>
      </c>
    </row>
    <row r="182" spans="1:11">
      <c r="A182">
        <v>181</v>
      </c>
      <c r="B182">
        <v>368</v>
      </c>
      <c r="C182" t="s">
        <v>40</v>
      </c>
      <c r="D182">
        <v>73</v>
      </c>
      <c r="E182" t="s">
        <v>9</v>
      </c>
      <c r="F182" t="s">
        <v>15</v>
      </c>
      <c r="G182" t="s">
        <v>13</v>
      </c>
      <c r="H182">
        <v>150</v>
      </c>
      <c r="I182">
        <v>2021</v>
      </c>
      <c r="J182" t="s">
        <v>14</v>
      </c>
      <c r="K182">
        <v>96958.8</v>
      </c>
    </row>
    <row r="183" spans="1:11">
      <c r="A183">
        <v>182</v>
      </c>
      <c r="B183">
        <v>434</v>
      </c>
      <c r="C183" t="s">
        <v>40</v>
      </c>
      <c r="D183">
        <v>73</v>
      </c>
      <c r="E183" t="s">
        <v>9</v>
      </c>
      <c r="F183" t="s">
        <v>15</v>
      </c>
      <c r="G183" t="s">
        <v>13</v>
      </c>
      <c r="H183">
        <v>120</v>
      </c>
      <c r="I183">
        <v>2022</v>
      </c>
      <c r="J183" t="s">
        <v>14</v>
      </c>
      <c r="K183" s="1">
        <v>104253.569999999</v>
      </c>
    </row>
    <row r="184" spans="1:11">
      <c r="A184">
        <v>183</v>
      </c>
      <c r="B184">
        <v>364</v>
      </c>
      <c r="C184" t="s">
        <v>40</v>
      </c>
      <c r="D184">
        <v>73</v>
      </c>
      <c r="E184" t="s">
        <v>20</v>
      </c>
      <c r="F184" t="s">
        <v>10</v>
      </c>
      <c r="G184" t="s">
        <v>29</v>
      </c>
      <c r="H184">
        <v>120</v>
      </c>
      <c r="I184">
        <v>2021</v>
      </c>
      <c r="J184" t="s">
        <v>18</v>
      </c>
      <c r="K184">
        <v>108694.8</v>
      </c>
    </row>
    <row r="185" spans="1:11">
      <c r="A185">
        <v>184</v>
      </c>
      <c r="B185">
        <v>298</v>
      </c>
      <c r="C185" t="s">
        <v>40</v>
      </c>
      <c r="D185">
        <v>73</v>
      </c>
      <c r="E185" t="s">
        <v>9</v>
      </c>
      <c r="F185" t="s">
        <v>17</v>
      </c>
      <c r="G185" t="s">
        <v>13</v>
      </c>
      <c r="H185">
        <v>155</v>
      </c>
      <c r="I185">
        <v>2021</v>
      </c>
      <c r="J185" t="s">
        <v>18</v>
      </c>
      <c r="K185" s="1">
        <v>111411.599999999</v>
      </c>
    </row>
    <row r="186" spans="1:11">
      <c r="A186">
        <v>185</v>
      </c>
      <c r="B186">
        <v>362</v>
      </c>
      <c r="C186" t="s">
        <v>40</v>
      </c>
      <c r="D186">
        <v>73</v>
      </c>
      <c r="E186" t="s">
        <v>9</v>
      </c>
      <c r="F186" t="s">
        <v>15</v>
      </c>
      <c r="G186" t="s">
        <v>13</v>
      </c>
      <c r="H186">
        <v>140</v>
      </c>
      <c r="I186">
        <v>2021</v>
      </c>
      <c r="J186" t="s">
        <v>22</v>
      </c>
      <c r="K186">
        <v>116605.2</v>
      </c>
    </row>
    <row r="187" spans="1:11">
      <c r="A187">
        <v>186</v>
      </c>
      <c r="B187">
        <v>340</v>
      </c>
      <c r="C187" t="s">
        <v>40</v>
      </c>
      <c r="D187">
        <v>73</v>
      </c>
      <c r="E187" t="s">
        <v>9</v>
      </c>
      <c r="F187" t="s">
        <v>19</v>
      </c>
      <c r="G187" t="s">
        <v>13</v>
      </c>
      <c r="H187">
        <v>150</v>
      </c>
      <c r="I187">
        <v>2021</v>
      </c>
      <c r="J187" t="s">
        <v>14</v>
      </c>
      <c r="K187">
        <v>118746</v>
      </c>
    </row>
    <row r="188" spans="1:11">
      <c r="A188">
        <v>187</v>
      </c>
      <c r="B188">
        <v>410</v>
      </c>
      <c r="C188" t="s">
        <v>40</v>
      </c>
      <c r="D188">
        <v>73</v>
      </c>
      <c r="E188" t="s">
        <v>9</v>
      </c>
      <c r="F188" t="s">
        <v>17</v>
      </c>
      <c r="G188" t="s">
        <v>13</v>
      </c>
      <c r="H188">
        <v>140</v>
      </c>
      <c r="I188">
        <v>2022</v>
      </c>
      <c r="J188" t="s">
        <v>14</v>
      </c>
      <c r="K188" s="1">
        <v>126424.319999999</v>
      </c>
    </row>
    <row r="189" spans="1:11">
      <c r="A189">
        <v>188</v>
      </c>
      <c r="B189">
        <v>147</v>
      </c>
      <c r="C189" t="s">
        <v>40</v>
      </c>
      <c r="D189">
        <v>72</v>
      </c>
      <c r="E189" t="s">
        <v>16</v>
      </c>
      <c r="F189" t="s">
        <v>23</v>
      </c>
      <c r="G189" t="s">
        <v>11</v>
      </c>
      <c r="H189">
        <v>205</v>
      </c>
      <c r="I189">
        <v>2019</v>
      </c>
      <c r="J189" t="s">
        <v>12</v>
      </c>
      <c r="K189">
        <v>28147.9</v>
      </c>
    </row>
    <row r="190" spans="1:11">
      <c r="A190">
        <v>189</v>
      </c>
      <c r="B190">
        <v>427</v>
      </c>
      <c r="C190" t="s">
        <v>40</v>
      </c>
      <c r="D190">
        <v>72</v>
      </c>
      <c r="E190" t="s">
        <v>16</v>
      </c>
      <c r="F190" t="s">
        <v>23</v>
      </c>
      <c r="G190" t="s">
        <v>11</v>
      </c>
      <c r="H190">
        <v>185</v>
      </c>
      <c r="I190">
        <v>2022</v>
      </c>
      <c r="J190" t="s">
        <v>14</v>
      </c>
      <c r="K190" s="1">
        <v>29895.1499999999</v>
      </c>
    </row>
    <row r="191" spans="1:11">
      <c r="A191">
        <v>190</v>
      </c>
      <c r="B191">
        <v>247</v>
      </c>
      <c r="C191" t="s">
        <v>40</v>
      </c>
      <c r="D191">
        <v>72</v>
      </c>
      <c r="E191" t="s">
        <v>16</v>
      </c>
      <c r="F191" t="s">
        <v>23</v>
      </c>
      <c r="G191" t="s">
        <v>11</v>
      </c>
      <c r="H191">
        <v>200</v>
      </c>
      <c r="I191">
        <v>2019</v>
      </c>
      <c r="J191" t="s">
        <v>18</v>
      </c>
      <c r="K191" s="1">
        <v>30556.44</v>
      </c>
    </row>
    <row r="192" spans="1:11">
      <c r="A192">
        <v>191</v>
      </c>
      <c r="B192">
        <v>227</v>
      </c>
      <c r="C192" t="s">
        <v>40</v>
      </c>
      <c r="D192">
        <v>72</v>
      </c>
      <c r="E192" t="s">
        <v>16</v>
      </c>
      <c r="F192" t="s">
        <v>10</v>
      </c>
      <c r="G192" t="s">
        <v>11</v>
      </c>
      <c r="H192">
        <v>240</v>
      </c>
      <c r="I192">
        <v>2019</v>
      </c>
      <c r="J192" t="s">
        <v>22</v>
      </c>
      <c r="K192">
        <v>30646.080000000002</v>
      </c>
    </row>
    <row r="193" spans="1:11">
      <c r="A193">
        <v>192</v>
      </c>
      <c r="B193">
        <v>314</v>
      </c>
      <c r="C193" t="s">
        <v>40</v>
      </c>
      <c r="D193">
        <v>72</v>
      </c>
      <c r="E193" t="s">
        <v>16</v>
      </c>
      <c r="F193" t="s">
        <v>10</v>
      </c>
      <c r="G193" t="s">
        <v>11</v>
      </c>
      <c r="H193">
        <v>165</v>
      </c>
      <c r="I193">
        <v>2021</v>
      </c>
      <c r="J193" t="s">
        <v>14</v>
      </c>
      <c r="K193" s="1">
        <v>30674.3999999999</v>
      </c>
    </row>
    <row r="194" spans="1:11">
      <c r="A194">
        <v>193</v>
      </c>
      <c r="B194">
        <v>480</v>
      </c>
      <c r="C194" t="s">
        <v>40</v>
      </c>
      <c r="D194">
        <v>72</v>
      </c>
      <c r="E194" t="s">
        <v>16</v>
      </c>
      <c r="F194" t="s">
        <v>10</v>
      </c>
      <c r="G194" t="s">
        <v>11</v>
      </c>
      <c r="H194">
        <v>180</v>
      </c>
      <c r="I194">
        <v>2022</v>
      </c>
      <c r="J194" t="s">
        <v>18</v>
      </c>
      <c r="K194">
        <v>30970</v>
      </c>
    </row>
    <row r="195" spans="1:11">
      <c r="A195">
        <v>194</v>
      </c>
      <c r="B195">
        <v>367</v>
      </c>
      <c r="C195" t="s">
        <v>40</v>
      </c>
      <c r="D195">
        <v>72</v>
      </c>
      <c r="E195" t="s">
        <v>16</v>
      </c>
      <c r="F195" t="s">
        <v>23</v>
      </c>
      <c r="G195" t="s">
        <v>11</v>
      </c>
      <c r="H195">
        <v>165</v>
      </c>
      <c r="I195">
        <v>2021</v>
      </c>
      <c r="J195" t="s">
        <v>14</v>
      </c>
      <c r="K195">
        <v>31366.799999999999</v>
      </c>
    </row>
    <row r="196" spans="1:11">
      <c r="A196">
        <v>195</v>
      </c>
      <c r="B196">
        <v>458</v>
      </c>
      <c r="C196" t="s">
        <v>40</v>
      </c>
      <c r="D196">
        <v>72</v>
      </c>
      <c r="E196" t="s">
        <v>16</v>
      </c>
      <c r="F196" t="s">
        <v>10</v>
      </c>
      <c r="G196" t="s">
        <v>11</v>
      </c>
      <c r="H196">
        <v>180</v>
      </c>
      <c r="I196">
        <v>2022</v>
      </c>
      <c r="J196" t="s">
        <v>22</v>
      </c>
      <c r="K196">
        <v>34838.519999999997</v>
      </c>
    </row>
    <row r="197" spans="1:11">
      <c r="A197">
        <v>196</v>
      </c>
      <c r="B197">
        <v>244</v>
      </c>
      <c r="C197" t="s">
        <v>40</v>
      </c>
      <c r="D197">
        <v>72</v>
      </c>
      <c r="E197" t="s">
        <v>16</v>
      </c>
      <c r="F197" t="s">
        <v>23</v>
      </c>
      <c r="G197" t="s">
        <v>11</v>
      </c>
      <c r="H197">
        <v>240</v>
      </c>
      <c r="I197">
        <v>2019</v>
      </c>
      <c r="J197" t="s">
        <v>22</v>
      </c>
      <c r="K197">
        <v>41961.16</v>
      </c>
    </row>
    <row r="198" spans="1:11">
      <c r="A198">
        <v>197</v>
      </c>
      <c r="B198">
        <v>135</v>
      </c>
      <c r="C198" t="s">
        <v>40</v>
      </c>
      <c r="D198">
        <v>72</v>
      </c>
      <c r="E198" t="s">
        <v>16</v>
      </c>
      <c r="F198" t="s">
        <v>23</v>
      </c>
      <c r="G198" t="s">
        <v>11</v>
      </c>
      <c r="H198">
        <v>200</v>
      </c>
      <c r="I198">
        <v>2019</v>
      </c>
      <c r="J198" t="s">
        <v>18</v>
      </c>
      <c r="K198">
        <v>42961.32</v>
      </c>
    </row>
    <row r="199" spans="1:11">
      <c r="A199">
        <v>198</v>
      </c>
      <c r="B199">
        <v>113</v>
      </c>
      <c r="C199" t="s">
        <v>40</v>
      </c>
      <c r="D199">
        <v>72</v>
      </c>
      <c r="E199" t="s">
        <v>9</v>
      </c>
      <c r="F199" t="s">
        <v>19</v>
      </c>
      <c r="G199" t="s">
        <v>24</v>
      </c>
      <c r="H199">
        <v>200</v>
      </c>
      <c r="I199">
        <v>2018</v>
      </c>
      <c r="J199" t="s">
        <v>14</v>
      </c>
      <c r="K199" s="1">
        <v>94965.15</v>
      </c>
    </row>
    <row r="200" spans="1:11">
      <c r="A200">
        <v>199</v>
      </c>
      <c r="B200">
        <v>10</v>
      </c>
      <c r="C200" t="s">
        <v>40</v>
      </c>
      <c r="D200">
        <v>72</v>
      </c>
      <c r="E200" t="s">
        <v>9</v>
      </c>
      <c r="F200" t="s">
        <v>19</v>
      </c>
      <c r="G200" t="s">
        <v>11</v>
      </c>
      <c r="H200">
        <v>140</v>
      </c>
      <c r="I200">
        <v>2017</v>
      </c>
      <c r="J200" t="s">
        <v>22</v>
      </c>
      <c r="K200">
        <v>96442</v>
      </c>
    </row>
    <row r="201" spans="1:11">
      <c r="A201">
        <v>200</v>
      </c>
      <c r="B201">
        <v>24</v>
      </c>
      <c r="C201" t="s">
        <v>40</v>
      </c>
      <c r="D201">
        <v>72</v>
      </c>
      <c r="E201" t="s">
        <v>9</v>
      </c>
      <c r="F201" t="s">
        <v>17</v>
      </c>
      <c r="G201" t="s">
        <v>11</v>
      </c>
      <c r="H201">
        <v>120</v>
      </c>
      <c r="I201">
        <v>2017</v>
      </c>
      <c r="J201" t="s">
        <v>14</v>
      </c>
      <c r="K201">
        <v>97806</v>
      </c>
    </row>
    <row r="202" spans="1:11">
      <c r="A202">
        <v>201</v>
      </c>
      <c r="B202">
        <v>20</v>
      </c>
      <c r="C202" t="s">
        <v>40</v>
      </c>
      <c r="D202">
        <v>72</v>
      </c>
      <c r="E202" t="s">
        <v>9</v>
      </c>
      <c r="F202" t="s">
        <v>10</v>
      </c>
      <c r="G202" t="s">
        <v>13</v>
      </c>
      <c r="H202">
        <v>120</v>
      </c>
      <c r="I202">
        <v>2017</v>
      </c>
      <c r="J202" t="s">
        <v>14</v>
      </c>
      <c r="K202">
        <v>99848</v>
      </c>
    </row>
    <row r="203" spans="1:11">
      <c r="A203">
        <v>202</v>
      </c>
      <c r="B203">
        <v>50</v>
      </c>
      <c r="C203" t="s">
        <v>40</v>
      </c>
      <c r="D203">
        <v>72</v>
      </c>
      <c r="E203" t="s">
        <v>9</v>
      </c>
      <c r="F203" t="s">
        <v>15</v>
      </c>
      <c r="G203" t="s">
        <v>11</v>
      </c>
      <c r="H203">
        <v>120</v>
      </c>
      <c r="I203">
        <v>2018</v>
      </c>
      <c r="J203" t="s">
        <v>14</v>
      </c>
      <c r="K203">
        <v>105296.1</v>
      </c>
    </row>
    <row r="204" spans="1:11">
      <c r="A204">
        <v>203</v>
      </c>
      <c r="B204">
        <v>52</v>
      </c>
      <c r="C204" t="s">
        <v>40</v>
      </c>
      <c r="D204">
        <v>72</v>
      </c>
      <c r="E204" t="s">
        <v>9</v>
      </c>
      <c r="F204" t="s">
        <v>15</v>
      </c>
      <c r="G204" t="s">
        <v>11</v>
      </c>
      <c r="H204">
        <v>150</v>
      </c>
      <c r="I204">
        <v>2018</v>
      </c>
      <c r="J204" t="s">
        <v>14</v>
      </c>
      <c r="K204">
        <v>105608.88</v>
      </c>
    </row>
    <row r="205" spans="1:11">
      <c r="A205">
        <v>204</v>
      </c>
      <c r="B205">
        <v>59</v>
      </c>
      <c r="C205" t="s">
        <v>40</v>
      </c>
      <c r="D205">
        <v>72</v>
      </c>
      <c r="E205" t="s">
        <v>9</v>
      </c>
      <c r="F205" t="s">
        <v>19</v>
      </c>
      <c r="G205" t="s">
        <v>11</v>
      </c>
      <c r="H205">
        <v>155</v>
      </c>
      <c r="I205">
        <v>2018</v>
      </c>
      <c r="J205" t="s">
        <v>22</v>
      </c>
      <c r="K205">
        <v>110199.7</v>
      </c>
    </row>
    <row r="206" spans="1:11">
      <c r="A206">
        <v>205</v>
      </c>
      <c r="B206">
        <v>62</v>
      </c>
      <c r="C206" t="s">
        <v>40</v>
      </c>
      <c r="D206">
        <v>71</v>
      </c>
      <c r="E206" t="s">
        <v>9</v>
      </c>
      <c r="F206" t="s">
        <v>17</v>
      </c>
      <c r="G206" t="s">
        <v>13</v>
      </c>
      <c r="H206">
        <v>180</v>
      </c>
      <c r="I206">
        <v>2018</v>
      </c>
      <c r="J206" t="s">
        <v>22</v>
      </c>
      <c r="K206" s="1">
        <v>86864.4</v>
      </c>
    </row>
    <row r="207" spans="1:11">
      <c r="A207">
        <v>206</v>
      </c>
      <c r="B207">
        <v>84</v>
      </c>
      <c r="C207" t="s">
        <v>40</v>
      </c>
      <c r="D207">
        <v>71</v>
      </c>
      <c r="E207" t="s">
        <v>9</v>
      </c>
      <c r="F207" t="s">
        <v>15</v>
      </c>
      <c r="G207" t="s">
        <v>13</v>
      </c>
      <c r="H207">
        <v>170</v>
      </c>
      <c r="I207">
        <v>2018</v>
      </c>
      <c r="J207" t="s">
        <v>22</v>
      </c>
      <c r="K207">
        <v>88603.839999999997</v>
      </c>
    </row>
    <row r="208" spans="1:11">
      <c r="A208">
        <v>207</v>
      </c>
      <c r="B208">
        <v>70</v>
      </c>
      <c r="C208" t="s">
        <v>40</v>
      </c>
      <c r="D208">
        <v>71</v>
      </c>
      <c r="E208" t="s">
        <v>9</v>
      </c>
      <c r="F208" t="s">
        <v>19</v>
      </c>
      <c r="G208" t="s">
        <v>13</v>
      </c>
      <c r="H208">
        <v>170</v>
      </c>
      <c r="I208">
        <v>2018</v>
      </c>
      <c r="J208" t="s">
        <v>18</v>
      </c>
      <c r="K208">
        <v>90702.83</v>
      </c>
    </row>
    <row r="209" spans="1:11">
      <c r="A209">
        <v>208</v>
      </c>
      <c r="B209">
        <v>138</v>
      </c>
      <c r="C209" t="s">
        <v>40</v>
      </c>
      <c r="D209">
        <v>71</v>
      </c>
      <c r="E209" t="s">
        <v>9</v>
      </c>
      <c r="F209" t="s">
        <v>23</v>
      </c>
      <c r="G209" t="s">
        <v>13</v>
      </c>
      <c r="H209">
        <v>115</v>
      </c>
      <c r="I209">
        <v>2019</v>
      </c>
      <c r="J209" t="s">
        <v>14</v>
      </c>
      <c r="K209">
        <v>92045.16</v>
      </c>
    </row>
    <row r="210" spans="1:11">
      <c r="A210">
        <v>209</v>
      </c>
      <c r="B210">
        <v>179</v>
      </c>
      <c r="C210" t="s">
        <v>40</v>
      </c>
      <c r="D210">
        <v>71</v>
      </c>
      <c r="E210" t="s">
        <v>9</v>
      </c>
      <c r="F210" t="s">
        <v>23</v>
      </c>
      <c r="G210" t="s">
        <v>13</v>
      </c>
      <c r="H210">
        <v>95</v>
      </c>
      <c r="I210">
        <v>2019</v>
      </c>
      <c r="J210" t="s">
        <v>12</v>
      </c>
      <c r="K210">
        <v>95797.08</v>
      </c>
    </row>
    <row r="211" spans="1:11">
      <c r="A211">
        <v>210</v>
      </c>
      <c r="B211">
        <v>167</v>
      </c>
      <c r="C211" t="s">
        <v>40</v>
      </c>
      <c r="D211">
        <v>71</v>
      </c>
      <c r="E211" t="s">
        <v>9</v>
      </c>
      <c r="F211" t="s">
        <v>17</v>
      </c>
      <c r="G211" t="s">
        <v>11</v>
      </c>
      <c r="H211">
        <v>90</v>
      </c>
      <c r="I211">
        <v>2019</v>
      </c>
      <c r="J211" t="s">
        <v>22</v>
      </c>
      <c r="K211">
        <v>95994.72</v>
      </c>
    </row>
    <row r="212" spans="1:11">
      <c r="A212">
        <v>211</v>
      </c>
      <c r="B212">
        <v>152</v>
      </c>
      <c r="C212" t="s">
        <v>40</v>
      </c>
      <c r="D212">
        <v>71</v>
      </c>
      <c r="E212" t="s">
        <v>9</v>
      </c>
      <c r="F212" t="s">
        <v>19</v>
      </c>
      <c r="G212" t="s">
        <v>11</v>
      </c>
      <c r="H212">
        <v>90</v>
      </c>
      <c r="I212">
        <v>2019</v>
      </c>
      <c r="J212" t="s">
        <v>12</v>
      </c>
      <c r="K212" s="1">
        <v>102749.9</v>
      </c>
    </row>
    <row r="213" spans="1:11">
      <c r="A213">
        <v>212</v>
      </c>
      <c r="B213">
        <v>250</v>
      </c>
      <c r="C213" t="s">
        <v>40</v>
      </c>
      <c r="D213">
        <v>71</v>
      </c>
      <c r="E213" t="s">
        <v>9</v>
      </c>
      <c r="F213" t="s">
        <v>10</v>
      </c>
      <c r="G213" t="s">
        <v>13</v>
      </c>
      <c r="H213">
        <v>95</v>
      </c>
      <c r="I213">
        <v>2019</v>
      </c>
      <c r="J213" t="s">
        <v>12</v>
      </c>
      <c r="K213">
        <v>107901.72</v>
      </c>
    </row>
    <row r="214" spans="1:11">
      <c r="A214">
        <v>213</v>
      </c>
      <c r="B214">
        <v>111</v>
      </c>
      <c r="C214" t="s">
        <v>40</v>
      </c>
      <c r="D214">
        <v>71</v>
      </c>
      <c r="E214" t="s">
        <v>9</v>
      </c>
      <c r="F214" t="s">
        <v>19</v>
      </c>
      <c r="G214" t="s">
        <v>13</v>
      </c>
      <c r="H214">
        <v>190</v>
      </c>
      <c r="I214">
        <v>2018</v>
      </c>
      <c r="J214" t="s">
        <v>18</v>
      </c>
      <c r="K214">
        <v>108838.8</v>
      </c>
    </row>
    <row r="215" spans="1:11">
      <c r="A215">
        <v>214</v>
      </c>
      <c r="B215">
        <v>44</v>
      </c>
      <c r="C215" t="s">
        <v>40</v>
      </c>
      <c r="D215">
        <v>71</v>
      </c>
      <c r="E215" t="s">
        <v>9</v>
      </c>
      <c r="F215" t="s">
        <v>17</v>
      </c>
      <c r="G215" t="s">
        <v>13</v>
      </c>
      <c r="H215">
        <v>185</v>
      </c>
      <c r="I215">
        <v>2018</v>
      </c>
      <c r="J215" t="s">
        <v>14</v>
      </c>
      <c r="K215">
        <v>110680.5</v>
      </c>
    </row>
    <row r="216" spans="1:11">
      <c r="A216">
        <v>215</v>
      </c>
      <c r="B216">
        <v>168</v>
      </c>
      <c r="C216" t="s">
        <v>40</v>
      </c>
      <c r="D216">
        <v>71</v>
      </c>
      <c r="E216" t="s">
        <v>9</v>
      </c>
      <c r="F216" t="s">
        <v>19</v>
      </c>
      <c r="G216" t="s">
        <v>11</v>
      </c>
      <c r="H216">
        <v>90</v>
      </c>
      <c r="I216">
        <v>2019</v>
      </c>
      <c r="J216" t="s">
        <v>22</v>
      </c>
      <c r="K216" s="1">
        <v>113217.54</v>
      </c>
    </row>
    <row r="217" spans="1:11">
      <c r="A217">
        <v>216</v>
      </c>
      <c r="B217">
        <v>197</v>
      </c>
      <c r="C217" t="s">
        <v>40</v>
      </c>
      <c r="D217">
        <v>71</v>
      </c>
      <c r="E217" t="s">
        <v>9</v>
      </c>
      <c r="F217" t="s">
        <v>15</v>
      </c>
      <c r="G217" t="s">
        <v>11</v>
      </c>
      <c r="H217">
        <v>95</v>
      </c>
      <c r="I217">
        <v>2019</v>
      </c>
      <c r="J217" t="s">
        <v>12</v>
      </c>
      <c r="K217">
        <v>115262.28</v>
      </c>
    </row>
    <row r="218" spans="1:11">
      <c r="A218">
        <v>217</v>
      </c>
      <c r="B218">
        <v>472</v>
      </c>
      <c r="C218" t="s">
        <v>40</v>
      </c>
      <c r="D218">
        <v>71</v>
      </c>
      <c r="E218" t="s">
        <v>9</v>
      </c>
      <c r="F218" t="s">
        <v>15</v>
      </c>
      <c r="G218" t="s">
        <v>24</v>
      </c>
      <c r="H218">
        <v>140</v>
      </c>
      <c r="I218">
        <v>2022</v>
      </c>
      <c r="J218" t="s">
        <v>18</v>
      </c>
      <c r="K218">
        <v>117221.25</v>
      </c>
    </row>
    <row r="219" spans="1:11">
      <c r="A219">
        <v>218</v>
      </c>
      <c r="B219">
        <v>404</v>
      </c>
      <c r="C219" t="s">
        <v>40</v>
      </c>
      <c r="D219">
        <v>70</v>
      </c>
      <c r="E219" t="s">
        <v>16</v>
      </c>
      <c r="F219" t="s">
        <v>19</v>
      </c>
      <c r="G219" t="s">
        <v>11</v>
      </c>
      <c r="H219">
        <v>210</v>
      </c>
      <c r="I219">
        <v>2021</v>
      </c>
      <c r="J219" t="s">
        <v>22</v>
      </c>
      <c r="K219">
        <v>24715.200000000001</v>
      </c>
    </row>
    <row r="220" spans="1:11">
      <c r="A220">
        <v>219</v>
      </c>
      <c r="B220">
        <v>288</v>
      </c>
      <c r="C220" t="s">
        <v>40</v>
      </c>
      <c r="D220">
        <v>70</v>
      </c>
      <c r="E220" t="s">
        <v>16</v>
      </c>
      <c r="F220" t="s">
        <v>17</v>
      </c>
      <c r="G220" t="s">
        <v>11</v>
      </c>
      <c r="H220">
        <v>215</v>
      </c>
      <c r="I220">
        <v>2021</v>
      </c>
      <c r="J220" t="s">
        <v>14</v>
      </c>
      <c r="K220">
        <v>25816.799999999999</v>
      </c>
    </row>
    <row r="221" spans="1:11">
      <c r="A221">
        <v>220</v>
      </c>
      <c r="B221">
        <v>350</v>
      </c>
      <c r="C221" t="s">
        <v>40</v>
      </c>
      <c r="D221">
        <v>70</v>
      </c>
      <c r="E221" t="s">
        <v>16</v>
      </c>
      <c r="F221" t="s">
        <v>19</v>
      </c>
      <c r="G221" t="s">
        <v>11</v>
      </c>
      <c r="H221">
        <v>220</v>
      </c>
      <c r="I221">
        <v>2021</v>
      </c>
      <c r="J221" t="s">
        <v>14</v>
      </c>
      <c r="K221">
        <v>27264</v>
      </c>
    </row>
    <row r="222" spans="1:11">
      <c r="A222">
        <v>221</v>
      </c>
      <c r="B222">
        <v>285</v>
      </c>
      <c r="C222" t="s">
        <v>40</v>
      </c>
      <c r="D222">
        <v>70</v>
      </c>
      <c r="E222" t="s">
        <v>16</v>
      </c>
      <c r="F222" t="s">
        <v>19</v>
      </c>
      <c r="G222" t="s">
        <v>11</v>
      </c>
      <c r="H222">
        <v>215</v>
      </c>
      <c r="I222">
        <v>2021</v>
      </c>
      <c r="J222" t="s">
        <v>18</v>
      </c>
      <c r="K222" s="1">
        <v>30799.179999999898</v>
      </c>
    </row>
    <row r="223" spans="1:11">
      <c r="A223">
        <v>222</v>
      </c>
      <c r="B223">
        <v>386</v>
      </c>
      <c r="C223" t="s">
        <v>40</v>
      </c>
      <c r="D223">
        <v>70</v>
      </c>
      <c r="E223" t="s">
        <v>16</v>
      </c>
      <c r="F223" t="s">
        <v>19</v>
      </c>
      <c r="G223" t="s">
        <v>11</v>
      </c>
      <c r="H223">
        <v>245</v>
      </c>
      <c r="I223">
        <v>2021</v>
      </c>
      <c r="J223" t="s">
        <v>12</v>
      </c>
      <c r="K223" s="1">
        <v>32908.799999999901</v>
      </c>
    </row>
    <row r="224" spans="1:11">
      <c r="A224">
        <v>223</v>
      </c>
      <c r="B224">
        <v>466</v>
      </c>
      <c r="C224" t="s">
        <v>40</v>
      </c>
      <c r="D224">
        <v>70</v>
      </c>
      <c r="E224" t="s">
        <v>16</v>
      </c>
      <c r="F224" t="s">
        <v>17</v>
      </c>
      <c r="G224" t="s">
        <v>11</v>
      </c>
      <c r="H224">
        <v>200</v>
      </c>
      <c r="I224">
        <v>2022</v>
      </c>
      <c r="J224" t="s">
        <v>22</v>
      </c>
      <c r="K224">
        <v>32921.25</v>
      </c>
    </row>
    <row r="225" spans="1:11">
      <c r="A225">
        <v>224</v>
      </c>
      <c r="B225">
        <v>358</v>
      </c>
      <c r="C225" t="s">
        <v>40</v>
      </c>
      <c r="D225">
        <v>70</v>
      </c>
      <c r="E225" t="s">
        <v>16</v>
      </c>
      <c r="F225" t="s">
        <v>17</v>
      </c>
      <c r="G225" t="s">
        <v>11</v>
      </c>
      <c r="H225">
        <v>220</v>
      </c>
      <c r="I225">
        <v>2021</v>
      </c>
      <c r="J225" t="s">
        <v>14</v>
      </c>
      <c r="K225">
        <v>37182</v>
      </c>
    </row>
    <row r="226" spans="1:11">
      <c r="A226">
        <v>225</v>
      </c>
      <c r="B226">
        <v>437</v>
      </c>
      <c r="C226" t="s">
        <v>40</v>
      </c>
      <c r="D226">
        <v>70</v>
      </c>
      <c r="E226" t="s">
        <v>16</v>
      </c>
      <c r="F226" t="s">
        <v>15</v>
      </c>
      <c r="G226" t="s">
        <v>11</v>
      </c>
      <c r="H226">
        <v>230</v>
      </c>
      <c r="I226">
        <v>2022</v>
      </c>
      <c r="J226" t="s">
        <v>14</v>
      </c>
      <c r="K226">
        <v>38195.19</v>
      </c>
    </row>
    <row r="227" spans="1:11">
      <c r="A227">
        <v>226</v>
      </c>
      <c r="B227">
        <v>356</v>
      </c>
      <c r="C227" t="s">
        <v>40</v>
      </c>
      <c r="D227">
        <v>70</v>
      </c>
      <c r="E227" t="s">
        <v>16</v>
      </c>
      <c r="F227" t="s">
        <v>23</v>
      </c>
      <c r="G227" t="s">
        <v>13</v>
      </c>
      <c r="H227">
        <v>240</v>
      </c>
      <c r="I227">
        <v>2021</v>
      </c>
      <c r="J227" t="s">
        <v>12</v>
      </c>
      <c r="K227" s="1">
        <v>38506.799999999901</v>
      </c>
    </row>
    <row r="228" spans="1:11">
      <c r="A228">
        <v>227</v>
      </c>
      <c r="B228">
        <v>336</v>
      </c>
      <c r="C228" t="s">
        <v>40</v>
      </c>
      <c r="D228">
        <v>70</v>
      </c>
      <c r="E228" t="s">
        <v>16</v>
      </c>
      <c r="F228" t="s">
        <v>19</v>
      </c>
      <c r="G228" t="s">
        <v>11</v>
      </c>
      <c r="H228">
        <v>225</v>
      </c>
      <c r="I228">
        <v>2021</v>
      </c>
      <c r="J228" t="s">
        <v>14</v>
      </c>
      <c r="K228">
        <v>38684.400000000001</v>
      </c>
    </row>
    <row r="229" spans="1:11">
      <c r="A229">
        <v>228</v>
      </c>
      <c r="B229">
        <v>462</v>
      </c>
      <c r="C229" t="s">
        <v>40</v>
      </c>
      <c r="D229">
        <v>70</v>
      </c>
      <c r="E229" t="s">
        <v>16</v>
      </c>
      <c r="F229" t="s">
        <v>17</v>
      </c>
      <c r="G229" t="s">
        <v>11</v>
      </c>
      <c r="H229">
        <v>205</v>
      </c>
      <c r="I229">
        <v>2022</v>
      </c>
      <c r="J229" t="s">
        <v>14</v>
      </c>
      <c r="K229">
        <v>38717.5</v>
      </c>
    </row>
    <row r="230" spans="1:11">
      <c r="A230">
        <v>229</v>
      </c>
      <c r="B230">
        <v>331</v>
      </c>
      <c r="C230" t="s">
        <v>40</v>
      </c>
      <c r="D230">
        <v>70</v>
      </c>
      <c r="E230" t="s">
        <v>16</v>
      </c>
      <c r="F230" t="s">
        <v>19</v>
      </c>
      <c r="G230" t="s">
        <v>11</v>
      </c>
      <c r="H230">
        <v>205</v>
      </c>
      <c r="I230">
        <v>2021</v>
      </c>
      <c r="J230" t="s">
        <v>22</v>
      </c>
      <c r="K230" s="1">
        <v>39892.799999999901</v>
      </c>
    </row>
    <row r="231" spans="1:11">
      <c r="A231">
        <v>230</v>
      </c>
      <c r="B231">
        <v>490</v>
      </c>
      <c r="C231" t="s">
        <v>40</v>
      </c>
      <c r="D231">
        <v>70</v>
      </c>
      <c r="E231" t="s">
        <v>16</v>
      </c>
      <c r="F231" t="s">
        <v>17</v>
      </c>
      <c r="G231" t="s">
        <v>11</v>
      </c>
      <c r="H231">
        <v>215</v>
      </c>
      <c r="I231">
        <v>2022</v>
      </c>
      <c r="J231" t="s">
        <v>18</v>
      </c>
      <c r="K231">
        <v>40152.5</v>
      </c>
    </row>
    <row r="232" spans="1:11">
      <c r="A232">
        <v>231</v>
      </c>
      <c r="B232">
        <v>416</v>
      </c>
      <c r="C232" t="s">
        <v>40</v>
      </c>
      <c r="D232">
        <v>70</v>
      </c>
      <c r="E232" t="s">
        <v>16</v>
      </c>
      <c r="F232" t="s">
        <v>10</v>
      </c>
      <c r="G232" t="s">
        <v>13</v>
      </c>
      <c r="H232">
        <v>230</v>
      </c>
      <c r="I232">
        <v>2022</v>
      </c>
      <c r="J232" t="s">
        <v>12</v>
      </c>
      <c r="K232">
        <v>42002.04</v>
      </c>
    </row>
    <row r="233" spans="1:11">
      <c r="A233">
        <v>232</v>
      </c>
      <c r="B233">
        <v>360</v>
      </c>
      <c r="C233" t="s">
        <v>40</v>
      </c>
      <c r="D233">
        <v>70</v>
      </c>
      <c r="E233" t="s">
        <v>16</v>
      </c>
      <c r="F233" t="s">
        <v>17</v>
      </c>
      <c r="G233" t="s">
        <v>11</v>
      </c>
      <c r="H233">
        <v>215</v>
      </c>
      <c r="I233">
        <v>2021</v>
      </c>
      <c r="J233" t="s">
        <v>12</v>
      </c>
      <c r="K233">
        <v>42669.599999999999</v>
      </c>
    </row>
    <row r="234" spans="1:11">
      <c r="A234">
        <v>233</v>
      </c>
      <c r="B234">
        <v>494</v>
      </c>
      <c r="C234" t="s">
        <v>40</v>
      </c>
      <c r="D234">
        <v>70</v>
      </c>
      <c r="E234" t="s">
        <v>16</v>
      </c>
      <c r="F234" t="s">
        <v>17</v>
      </c>
      <c r="G234" t="s">
        <v>11</v>
      </c>
      <c r="H234">
        <v>235</v>
      </c>
      <c r="I234">
        <v>2022</v>
      </c>
      <c r="J234" t="s">
        <v>22</v>
      </c>
      <c r="K234">
        <v>44408.75</v>
      </c>
    </row>
    <row r="235" spans="1:11">
      <c r="A235">
        <v>234</v>
      </c>
      <c r="B235">
        <v>381</v>
      </c>
      <c r="C235" t="s">
        <v>40</v>
      </c>
      <c r="D235">
        <v>70</v>
      </c>
      <c r="E235" t="s">
        <v>16</v>
      </c>
      <c r="F235" t="s">
        <v>19</v>
      </c>
      <c r="G235" t="s">
        <v>11</v>
      </c>
      <c r="H235">
        <v>225</v>
      </c>
      <c r="I235">
        <v>2021</v>
      </c>
      <c r="J235" t="s">
        <v>12</v>
      </c>
      <c r="K235">
        <v>46520.4</v>
      </c>
    </row>
    <row r="236" spans="1:11">
      <c r="A236">
        <v>235</v>
      </c>
      <c r="B236">
        <v>441</v>
      </c>
      <c r="C236" t="s">
        <v>40</v>
      </c>
      <c r="D236">
        <v>70</v>
      </c>
      <c r="E236" t="s">
        <v>16</v>
      </c>
      <c r="F236" t="s">
        <v>17</v>
      </c>
      <c r="G236" t="s">
        <v>11</v>
      </c>
      <c r="H236">
        <v>210</v>
      </c>
      <c r="I236">
        <v>2022</v>
      </c>
      <c r="J236" t="s">
        <v>18</v>
      </c>
      <c r="K236">
        <v>46593.63</v>
      </c>
    </row>
    <row r="237" spans="1:11">
      <c r="A237">
        <v>236</v>
      </c>
      <c r="B237">
        <v>232</v>
      </c>
      <c r="C237" t="s">
        <v>40</v>
      </c>
      <c r="D237">
        <v>70</v>
      </c>
      <c r="E237" t="s">
        <v>9</v>
      </c>
      <c r="F237" t="s">
        <v>17</v>
      </c>
      <c r="G237" t="s">
        <v>13</v>
      </c>
      <c r="H237">
        <v>145</v>
      </c>
      <c r="I237">
        <v>2019</v>
      </c>
      <c r="J237" t="s">
        <v>18</v>
      </c>
      <c r="K237">
        <v>106021.44</v>
      </c>
    </row>
    <row r="238" spans="1:11">
      <c r="A238">
        <v>237</v>
      </c>
      <c r="B238">
        <v>189</v>
      </c>
      <c r="C238" t="s">
        <v>40</v>
      </c>
      <c r="D238">
        <v>70</v>
      </c>
      <c r="E238" t="s">
        <v>9</v>
      </c>
      <c r="F238" t="s">
        <v>15</v>
      </c>
      <c r="G238" t="s">
        <v>13</v>
      </c>
      <c r="H238">
        <v>135</v>
      </c>
      <c r="I238">
        <v>2019</v>
      </c>
      <c r="J238" t="s">
        <v>18</v>
      </c>
      <c r="K238" s="1">
        <v>112124.68</v>
      </c>
    </row>
    <row r="239" spans="1:11">
      <c r="A239">
        <v>238</v>
      </c>
      <c r="B239">
        <v>61</v>
      </c>
      <c r="C239" t="s">
        <v>40</v>
      </c>
      <c r="D239">
        <v>69</v>
      </c>
      <c r="E239" t="s">
        <v>16</v>
      </c>
      <c r="F239" t="s">
        <v>10</v>
      </c>
      <c r="G239" t="s">
        <v>11</v>
      </c>
      <c r="H239">
        <v>225</v>
      </c>
      <c r="I239">
        <v>2018</v>
      </c>
      <c r="J239" t="s">
        <v>18</v>
      </c>
      <c r="K239">
        <v>21848.400000000001</v>
      </c>
    </row>
    <row r="240" spans="1:11">
      <c r="A240">
        <v>239</v>
      </c>
      <c r="B240">
        <v>56</v>
      </c>
      <c r="C240" t="s">
        <v>40</v>
      </c>
      <c r="D240">
        <v>69</v>
      </c>
      <c r="E240" t="s">
        <v>16</v>
      </c>
      <c r="F240" t="s">
        <v>23</v>
      </c>
      <c r="G240" t="s">
        <v>11</v>
      </c>
      <c r="H240">
        <v>220</v>
      </c>
      <c r="I240">
        <v>2018</v>
      </c>
      <c r="J240" t="s">
        <v>18</v>
      </c>
      <c r="K240" s="1">
        <v>26795.599999999999</v>
      </c>
    </row>
    <row r="241" spans="1:11">
      <c r="A241">
        <v>240</v>
      </c>
      <c r="B241">
        <v>161</v>
      </c>
      <c r="C241" t="s">
        <v>40</v>
      </c>
      <c r="D241">
        <v>69</v>
      </c>
      <c r="E241" t="s">
        <v>16</v>
      </c>
      <c r="F241" t="s">
        <v>10</v>
      </c>
      <c r="G241" t="s">
        <v>11</v>
      </c>
      <c r="H241">
        <v>160</v>
      </c>
      <c r="I241">
        <v>2019</v>
      </c>
      <c r="J241" t="s">
        <v>22</v>
      </c>
      <c r="K241">
        <v>37293.300000000003</v>
      </c>
    </row>
    <row r="242" spans="1:11">
      <c r="A242">
        <v>241</v>
      </c>
      <c r="B242">
        <v>97</v>
      </c>
      <c r="C242" t="s">
        <v>40</v>
      </c>
      <c r="D242">
        <v>69</v>
      </c>
      <c r="E242" t="s">
        <v>16</v>
      </c>
      <c r="F242" t="s">
        <v>10</v>
      </c>
      <c r="G242" t="s">
        <v>11</v>
      </c>
      <c r="H242">
        <v>205</v>
      </c>
      <c r="I242">
        <v>2018</v>
      </c>
      <c r="J242" t="s">
        <v>18</v>
      </c>
      <c r="K242" s="1">
        <v>37352.699999999997</v>
      </c>
    </row>
    <row r="243" spans="1:11">
      <c r="A243">
        <v>242</v>
      </c>
      <c r="B243">
        <v>272</v>
      </c>
      <c r="C243" t="s">
        <v>40</v>
      </c>
      <c r="D243">
        <v>69</v>
      </c>
      <c r="E243" t="s">
        <v>16</v>
      </c>
      <c r="F243" t="s">
        <v>23</v>
      </c>
      <c r="G243" t="s">
        <v>11</v>
      </c>
      <c r="H243">
        <v>165</v>
      </c>
      <c r="I243">
        <v>2020</v>
      </c>
      <c r="J243" t="s">
        <v>22</v>
      </c>
      <c r="K243">
        <v>39625</v>
      </c>
    </row>
    <row r="244" spans="1:11">
      <c r="A244">
        <v>243</v>
      </c>
      <c r="B244">
        <v>242</v>
      </c>
      <c r="C244" t="s">
        <v>40</v>
      </c>
      <c r="D244">
        <v>69</v>
      </c>
      <c r="E244" t="s">
        <v>20</v>
      </c>
      <c r="F244" t="s">
        <v>15</v>
      </c>
      <c r="G244" t="s">
        <v>21</v>
      </c>
      <c r="H244">
        <v>160</v>
      </c>
      <c r="I244">
        <v>2019</v>
      </c>
      <c r="J244" t="s">
        <v>22</v>
      </c>
      <c r="K244">
        <v>100640.64</v>
      </c>
    </row>
    <row r="245" spans="1:11">
      <c r="A245">
        <v>244</v>
      </c>
      <c r="B245">
        <v>101</v>
      </c>
      <c r="C245" t="s">
        <v>40</v>
      </c>
      <c r="D245">
        <v>69</v>
      </c>
      <c r="E245" t="s">
        <v>20</v>
      </c>
      <c r="F245" t="s">
        <v>15</v>
      </c>
      <c r="G245" t="s">
        <v>21</v>
      </c>
      <c r="H245">
        <v>240</v>
      </c>
      <c r="I245">
        <v>2018</v>
      </c>
      <c r="J245" t="s">
        <v>14</v>
      </c>
      <c r="K245">
        <v>106028</v>
      </c>
    </row>
    <row r="246" spans="1:11">
      <c r="A246">
        <v>245</v>
      </c>
      <c r="B246">
        <v>196</v>
      </c>
      <c r="C246" t="s">
        <v>40</v>
      </c>
      <c r="D246">
        <v>69</v>
      </c>
      <c r="E246" t="s">
        <v>20</v>
      </c>
      <c r="F246" t="s">
        <v>15</v>
      </c>
      <c r="G246" t="s">
        <v>21</v>
      </c>
      <c r="H246">
        <v>165</v>
      </c>
      <c r="I246">
        <v>2019</v>
      </c>
      <c r="J246" t="s">
        <v>22</v>
      </c>
      <c r="K246">
        <v>106497.14</v>
      </c>
    </row>
    <row r="247" spans="1:11">
      <c r="A247">
        <v>246</v>
      </c>
      <c r="B247">
        <v>398</v>
      </c>
      <c r="C247" t="s">
        <v>40</v>
      </c>
      <c r="D247">
        <v>69</v>
      </c>
      <c r="E247" t="s">
        <v>9</v>
      </c>
      <c r="F247" t="s">
        <v>19</v>
      </c>
      <c r="G247" t="s">
        <v>13</v>
      </c>
      <c r="H247">
        <v>105</v>
      </c>
      <c r="I247">
        <v>2021</v>
      </c>
      <c r="J247" t="s">
        <v>22</v>
      </c>
      <c r="K247">
        <v>108384</v>
      </c>
    </row>
    <row r="248" spans="1:11">
      <c r="A248">
        <v>247</v>
      </c>
      <c r="B248">
        <v>422</v>
      </c>
      <c r="C248" t="s">
        <v>40</v>
      </c>
      <c r="D248">
        <v>69</v>
      </c>
      <c r="E248" t="s">
        <v>9</v>
      </c>
      <c r="F248" t="s">
        <v>17</v>
      </c>
      <c r="G248" t="s">
        <v>13</v>
      </c>
      <c r="H248">
        <v>110</v>
      </c>
      <c r="I248">
        <v>2022</v>
      </c>
      <c r="J248" t="s">
        <v>22</v>
      </c>
      <c r="K248" s="1">
        <v>109419.569999999</v>
      </c>
    </row>
    <row r="249" spans="1:11">
      <c r="A249">
        <v>248</v>
      </c>
      <c r="B249">
        <v>440</v>
      </c>
      <c r="C249" t="s">
        <v>40</v>
      </c>
      <c r="D249">
        <v>69</v>
      </c>
      <c r="E249" t="s">
        <v>9</v>
      </c>
      <c r="F249" t="s">
        <v>17</v>
      </c>
      <c r="G249" t="s">
        <v>13</v>
      </c>
      <c r="H249">
        <v>90</v>
      </c>
      <c r="I249">
        <v>2022</v>
      </c>
      <c r="J249" t="s">
        <v>12</v>
      </c>
      <c r="K249">
        <v>129393.54</v>
      </c>
    </row>
    <row r="250" spans="1:11">
      <c r="A250">
        <v>249</v>
      </c>
      <c r="B250">
        <v>365</v>
      </c>
      <c r="C250" t="s">
        <v>40</v>
      </c>
      <c r="D250">
        <v>68</v>
      </c>
      <c r="E250" t="s">
        <v>16</v>
      </c>
      <c r="F250" t="s">
        <v>10</v>
      </c>
      <c r="G250" t="s">
        <v>11</v>
      </c>
      <c r="H250">
        <v>155</v>
      </c>
      <c r="I250">
        <v>2021</v>
      </c>
      <c r="J250" t="s">
        <v>12</v>
      </c>
      <c r="K250">
        <v>33969.599999999999</v>
      </c>
    </row>
    <row r="251" spans="1:11">
      <c r="A251">
        <v>250</v>
      </c>
      <c r="B251">
        <v>305</v>
      </c>
      <c r="C251" t="s">
        <v>40</v>
      </c>
      <c r="D251">
        <v>68</v>
      </c>
      <c r="E251" t="s">
        <v>16</v>
      </c>
      <c r="F251" t="s">
        <v>23</v>
      </c>
      <c r="G251" t="s">
        <v>11</v>
      </c>
      <c r="H251">
        <v>125</v>
      </c>
      <c r="I251">
        <v>2021</v>
      </c>
      <c r="J251" t="s">
        <v>12</v>
      </c>
      <c r="K251">
        <v>34915.199999999997</v>
      </c>
    </row>
    <row r="252" spans="1:11">
      <c r="A252">
        <v>251</v>
      </c>
      <c r="B252">
        <v>349</v>
      </c>
      <c r="C252" t="s">
        <v>40</v>
      </c>
      <c r="D252">
        <v>68</v>
      </c>
      <c r="E252" t="s">
        <v>16</v>
      </c>
      <c r="F252" t="s">
        <v>23</v>
      </c>
      <c r="G252" t="s">
        <v>11</v>
      </c>
      <c r="H252">
        <v>120</v>
      </c>
      <c r="I252">
        <v>2021</v>
      </c>
      <c r="J252" t="s">
        <v>12</v>
      </c>
      <c r="K252">
        <v>37940.400000000001</v>
      </c>
    </row>
    <row r="253" spans="1:11">
      <c r="A253">
        <v>252</v>
      </c>
      <c r="B253">
        <v>481</v>
      </c>
      <c r="C253" t="s">
        <v>40</v>
      </c>
      <c r="D253">
        <v>68</v>
      </c>
      <c r="E253" t="s">
        <v>16</v>
      </c>
      <c r="F253" t="s">
        <v>23</v>
      </c>
      <c r="G253" t="s">
        <v>11</v>
      </c>
      <c r="H253">
        <v>135</v>
      </c>
      <c r="I253">
        <v>2022</v>
      </c>
      <c r="J253" t="s">
        <v>14</v>
      </c>
      <c r="K253">
        <v>43270</v>
      </c>
    </row>
    <row r="254" spans="1:11">
      <c r="A254">
        <v>253</v>
      </c>
      <c r="B254">
        <v>430</v>
      </c>
      <c r="C254" t="s">
        <v>40</v>
      </c>
      <c r="D254">
        <v>68</v>
      </c>
      <c r="E254" t="s">
        <v>16</v>
      </c>
      <c r="F254" t="s">
        <v>23</v>
      </c>
      <c r="G254" t="s">
        <v>11</v>
      </c>
      <c r="H254">
        <v>140</v>
      </c>
      <c r="I254">
        <v>2022</v>
      </c>
      <c r="J254" t="s">
        <v>14</v>
      </c>
      <c r="K254" s="1">
        <v>43512.479999999901</v>
      </c>
    </row>
    <row r="255" spans="1:11">
      <c r="A255">
        <v>254</v>
      </c>
      <c r="B255">
        <v>493</v>
      </c>
      <c r="C255" t="s">
        <v>40</v>
      </c>
      <c r="D255">
        <v>68</v>
      </c>
      <c r="E255" t="s">
        <v>16</v>
      </c>
      <c r="F255" t="s">
        <v>23</v>
      </c>
      <c r="G255" t="s">
        <v>11</v>
      </c>
      <c r="H255">
        <v>145</v>
      </c>
      <c r="I255">
        <v>2022</v>
      </c>
      <c r="J255" t="s">
        <v>14</v>
      </c>
      <c r="K255">
        <v>46676.25</v>
      </c>
    </row>
    <row r="256" spans="1:11">
      <c r="A256">
        <v>255</v>
      </c>
      <c r="B256">
        <v>448</v>
      </c>
      <c r="C256" t="s">
        <v>40</v>
      </c>
      <c r="D256">
        <v>68</v>
      </c>
      <c r="E256" t="s">
        <v>16</v>
      </c>
      <c r="F256" t="s">
        <v>23</v>
      </c>
      <c r="G256" t="s">
        <v>11</v>
      </c>
      <c r="H256">
        <v>140</v>
      </c>
      <c r="I256">
        <v>2022</v>
      </c>
      <c r="J256" t="s">
        <v>22</v>
      </c>
      <c r="K256">
        <v>48842.07</v>
      </c>
    </row>
    <row r="257" spans="1:11">
      <c r="A257">
        <v>256</v>
      </c>
      <c r="B257">
        <v>461</v>
      </c>
      <c r="C257" t="s">
        <v>40</v>
      </c>
      <c r="D257">
        <v>68</v>
      </c>
      <c r="E257" t="s">
        <v>16</v>
      </c>
      <c r="F257" t="s">
        <v>23</v>
      </c>
      <c r="G257" t="s">
        <v>11</v>
      </c>
      <c r="H257">
        <v>125</v>
      </c>
      <c r="I257">
        <v>2022</v>
      </c>
      <c r="J257" t="s">
        <v>22</v>
      </c>
      <c r="K257">
        <v>48907.26</v>
      </c>
    </row>
    <row r="258" spans="1:11">
      <c r="A258">
        <v>257</v>
      </c>
      <c r="B258">
        <v>278</v>
      </c>
      <c r="C258" t="s">
        <v>40</v>
      </c>
      <c r="D258">
        <v>67</v>
      </c>
      <c r="E258" t="s">
        <v>16</v>
      </c>
      <c r="F258" t="s">
        <v>15</v>
      </c>
      <c r="G258" t="s">
        <v>11</v>
      </c>
      <c r="H258">
        <v>185</v>
      </c>
      <c r="I258">
        <v>2021</v>
      </c>
      <c r="J258" t="s">
        <v>18</v>
      </c>
      <c r="K258">
        <v>23819.48</v>
      </c>
    </row>
    <row r="259" spans="1:11">
      <c r="A259">
        <v>258</v>
      </c>
      <c r="B259">
        <v>208</v>
      </c>
      <c r="C259" t="s">
        <v>40</v>
      </c>
      <c r="D259">
        <v>67</v>
      </c>
      <c r="E259" t="s">
        <v>16</v>
      </c>
      <c r="F259" t="s">
        <v>23</v>
      </c>
      <c r="G259" t="s">
        <v>13</v>
      </c>
      <c r="H259">
        <v>215</v>
      </c>
      <c r="I259">
        <v>2019</v>
      </c>
      <c r="J259" t="s">
        <v>18</v>
      </c>
      <c r="K259">
        <v>26345.52</v>
      </c>
    </row>
    <row r="260" spans="1:11">
      <c r="A260">
        <v>259</v>
      </c>
      <c r="B260">
        <v>497</v>
      </c>
      <c r="C260" t="s">
        <v>40</v>
      </c>
      <c r="D260">
        <v>67</v>
      </c>
      <c r="E260" t="s">
        <v>16</v>
      </c>
      <c r="F260" t="s">
        <v>17</v>
      </c>
      <c r="G260" t="s">
        <v>11</v>
      </c>
      <c r="H260">
        <v>165</v>
      </c>
      <c r="I260">
        <v>2022</v>
      </c>
      <c r="J260" t="s">
        <v>12</v>
      </c>
      <c r="K260">
        <v>27095</v>
      </c>
    </row>
    <row r="261" spans="1:11">
      <c r="A261">
        <v>260</v>
      </c>
      <c r="B261">
        <v>431</v>
      </c>
      <c r="C261" t="s">
        <v>40</v>
      </c>
      <c r="D261">
        <v>67</v>
      </c>
      <c r="E261" t="s">
        <v>16</v>
      </c>
      <c r="F261" t="s">
        <v>19</v>
      </c>
      <c r="G261" t="s">
        <v>11</v>
      </c>
      <c r="H261">
        <v>180</v>
      </c>
      <c r="I261">
        <v>2022</v>
      </c>
      <c r="J261" t="s">
        <v>12</v>
      </c>
      <c r="K261">
        <v>27138.720000000001</v>
      </c>
    </row>
    <row r="262" spans="1:11">
      <c r="A262">
        <v>261</v>
      </c>
      <c r="B262">
        <v>342</v>
      </c>
      <c r="C262" t="s">
        <v>40</v>
      </c>
      <c r="D262">
        <v>67</v>
      </c>
      <c r="E262" t="s">
        <v>16</v>
      </c>
      <c r="F262" t="s">
        <v>17</v>
      </c>
      <c r="G262" t="s">
        <v>11</v>
      </c>
      <c r="H262">
        <v>190</v>
      </c>
      <c r="I262">
        <v>2021</v>
      </c>
      <c r="J262" t="s">
        <v>22</v>
      </c>
      <c r="K262">
        <v>27154.799999999999</v>
      </c>
    </row>
    <row r="263" spans="1:11">
      <c r="A263">
        <v>262</v>
      </c>
      <c r="B263">
        <v>396</v>
      </c>
      <c r="C263" t="s">
        <v>40</v>
      </c>
      <c r="D263">
        <v>67</v>
      </c>
      <c r="E263" t="s">
        <v>16</v>
      </c>
      <c r="F263" t="s">
        <v>23</v>
      </c>
      <c r="G263" t="s">
        <v>13</v>
      </c>
      <c r="H263">
        <v>185</v>
      </c>
      <c r="I263">
        <v>2021</v>
      </c>
      <c r="J263" t="s">
        <v>14</v>
      </c>
      <c r="K263" s="1">
        <v>27524.3999999999</v>
      </c>
    </row>
    <row r="264" spans="1:11">
      <c r="A264">
        <v>263</v>
      </c>
      <c r="B264">
        <v>413</v>
      </c>
      <c r="C264" t="s">
        <v>40</v>
      </c>
      <c r="D264">
        <v>67</v>
      </c>
      <c r="E264" t="s">
        <v>16</v>
      </c>
      <c r="F264" t="s">
        <v>17</v>
      </c>
      <c r="G264" t="s">
        <v>11</v>
      </c>
      <c r="H264">
        <v>185</v>
      </c>
      <c r="I264">
        <v>2022</v>
      </c>
      <c r="J264" t="s">
        <v>18</v>
      </c>
      <c r="K264" s="1">
        <v>28665.1499999999</v>
      </c>
    </row>
    <row r="265" spans="1:11">
      <c r="A265">
        <v>264</v>
      </c>
      <c r="B265">
        <v>145</v>
      </c>
      <c r="C265" t="s">
        <v>40</v>
      </c>
      <c r="D265">
        <v>67</v>
      </c>
      <c r="E265" t="s">
        <v>16</v>
      </c>
      <c r="F265" t="s">
        <v>15</v>
      </c>
      <c r="G265" t="s">
        <v>11</v>
      </c>
      <c r="H265">
        <v>210</v>
      </c>
      <c r="I265">
        <v>2019</v>
      </c>
      <c r="J265" t="s">
        <v>12</v>
      </c>
      <c r="K265">
        <v>28924.22</v>
      </c>
    </row>
    <row r="266" spans="1:11">
      <c r="A266">
        <v>265</v>
      </c>
      <c r="B266">
        <v>352</v>
      </c>
      <c r="C266" t="s">
        <v>40</v>
      </c>
      <c r="D266">
        <v>67</v>
      </c>
      <c r="E266" t="s">
        <v>16</v>
      </c>
      <c r="F266" t="s">
        <v>10</v>
      </c>
      <c r="G266" t="s">
        <v>13</v>
      </c>
      <c r="H266">
        <v>180</v>
      </c>
      <c r="I266">
        <v>2021</v>
      </c>
      <c r="J266" t="s">
        <v>18</v>
      </c>
      <c r="K266" s="1">
        <v>33214.799999999901</v>
      </c>
    </row>
    <row r="267" spans="1:11">
      <c r="A267">
        <v>266</v>
      </c>
      <c r="B267">
        <v>370</v>
      </c>
      <c r="C267" t="s">
        <v>40</v>
      </c>
      <c r="D267">
        <v>67</v>
      </c>
      <c r="E267" t="s">
        <v>16</v>
      </c>
      <c r="F267" t="s">
        <v>19</v>
      </c>
      <c r="G267" t="s">
        <v>11</v>
      </c>
      <c r="H267">
        <v>160</v>
      </c>
      <c r="I267">
        <v>2021</v>
      </c>
      <c r="J267" t="s">
        <v>18</v>
      </c>
      <c r="K267">
        <v>33554.400000000001</v>
      </c>
    </row>
    <row r="268" spans="1:11">
      <c r="A268">
        <v>267</v>
      </c>
      <c r="B268">
        <v>157</v>
      </c>
      <c r="C268" t="s">
        <v>40</v>
      </c>
      <c r="D268">
        <v>67</v>
      </c>
      <c r="E268" t="s">
        <v>16</v>
      </c>
      <c r="F268" t="s">
        <v>15</v>
      </c>
      <c r="G268" t="s">
        <v>11</v>
      </c>
      <c r="H268">
        <v>210</v>
      </c>
      <c r="I268">
        <v>2019</v>
      </c>
      <c r="J268" t="s">
        <v>12</v>
      </c>
      <c r="K268">
        <v>34260.26</v>
      </c>
    </row>
    <row r="269" spans="1:11">
      <c r="A269">
        <v>268</v>
      </c>
      <c r="B269">
        <v>468</v>
      </c>
      <c r="C269" t="s">
        <v>40</v>
      </c>
      <c r="D269">
        <v>67</v>
      </c>
      <c r="E269" t="s">
        <v>16</v>
      </c>
      <c r="F269" t="s">
        <v>23</v>
      </c>
      <c r="G269" t="s">
        <v>13</v>
      </c>
      <c r="H269">
        <v>160</v>
      </c>
      <c r="I269">
        <v>2022</v>
      </c>
      <c r="J269" t="s">
        <v>18</v>
      </c>
      <c r="K269">
        <v>36393.75</v>
      </c>
    </row>
    <row r="270" spans="1:11">
      <c r="A270">
        <v>269</v>
      </c>
      <c r="B270">
        <v>312</v>
      </c>
      <c r="C270" t="s">
        <v>40</v>
      </c>
      <c r="D270">
        <v>67</v>
      </c>
      <c r="E270" t="s">
        <v>16</v>
      </c>
      <c r="F270" t="s">
        <v>19</v>
      </c>
      <c r="G270" t="s">
        <v>11</v>
      </c>
      <c r="H270">
        <v>175</v>
      </c>
      <c r="I270">
        <v>2021</v>
      </c>
      <c r="J270" t="s">
        <v>14</v>
      </c>
      <c r="K270">
        <v>37052.400000000001</v>
      </c>
    </row>
    <row r="271" spans="1:11">
      <c r="A271">
        <v>270</v>
      </c>
      <c r="B271">
        <v>463</v>
      </c>
      <c r="C271" t="s">
        <v>40</v>
      </c>
      <c r="D271">
        <v>67</v>
      </c>
      <c r="E271" t="s">
        <v>16</v>
      </c>
      <c r="F271" t="s">
        <v>17</v>
      </c>
      <c r="G271" t="s">
        <v>11</v>
      </c>
      <c r="H271">
        <v>180</v>
      </c>
      <c r="I271">
        <v>2022</v>
      </c>
      <c r="J271" t="s">
        <v>18</v>
      </c>
      <c r="K271">
        <v>37098.75</v>
      </c>
    </row>
    <row r="272" spans="1:11">
      <c r="A272">
        <v>271</v>
      </c>
      <c r="B272">
        <v>246</v>
      </c>
      <c r="C272" t="s">
        <v>40</v>
      </c>
      <c r="D272">
        <v>67</v>
      </c>
      <c r="E272" t="s">
        <v>16</v>
      </c>
      <c r="F272" t="s">
        <v>17</v>
      </c>
      <c r="G272" t="s">
        <v>11</v>
      </c>
      <c r="H272">
        <v>200</v>
      </c>
      <c r="I272">
        <v>2019</v>
      </c>
      <c r="J272" t="s">
        <v>22</v>
      </c>
      <c r="K272" s="1">
        <v>37101.06</v>
      </c>
    </row>
    <row r="273" spans="1:11">
      <c r="A273">
        <v>272</v>
      </c>
      <c r="B273">
        <v>420</v>
      </c>
      <c r="C273" t="s">
        <v>40</v>
      </c>
      <c r="D273">
        <v>67</v>
      </c>
      <c r="E273" t="s">
        <v>16</v>
      </c>
      <c r="F273" t="s">
        <v>23</v>
      </c>
      <c r="G273" t="s">
        <v>13</v>
      </c>
      <c r="H273">
        <v>180</v>
      </c>
      <c r="I273">
        <v>2022</v>
      </c>
      <c r="J273" t="s">
        <v>14</v>
      </c>
      <c r="K273">
        <v>37131.24</v>
      </c>
    </row>
    <row r="274" spans="1:11">
      <c r="A274">
        <v>273</v>
      </c>
      <c r="B274">
        <v>409</v>
      </c>
      <c r="C274" t="s">
        <v>40</v>
      </c>
      <c r="D274">
        <v>67</v>
      </c>
      <c r="E274" t="s">
        <v>16</v>
      </c>
      <c r="F274" t="s">
        <v>17</v>
      </c>
      <c r="G274" t="s">
        <v>11</v>
      </c>
      <c r="H274">
        <v>185</v>
      </c>
      <c r="I274">
        <v>2022</v>
      </c>
      <c r="J274" t="s">
        <v>18</v>
      </c>
      <c r="K274">
        <v>37256.699999999997</v>
      </c>
    </row>
    <row r="275" spans="1:11">
      <c r="A275">
        <v>274</v>
      </c>
      <c r="B275">
        <v>354</v>
      </c>
      <c r="C275" t="s">
        <v>40</v>
      </c>
      <c r="D275">
        <v>67</v>
      </c>
      <c r="E275" t="s">
        <v>16</v>
      </c>
      <c r="F275" t="s">
        <v>17</v>
      </c>
      <c r="G275" t="s">
        <v>11</v>
      </c>
      <c r="H275">
        <v>190</v>
      </c>
      <c r="I275">
        <v>2021</v>
      </c>
      <c r="J275" t="s">
        <v>22</v>
      </c>
      <c r="K275">
        <v>37770</v>
      </c>
    </row>
    <row r="276" spans="1:11">
      <c r="A276">
        <v>275</v>
      </c>
      <c r="B276">
        <v>270</v>
      </c>
      <c r="C276" t="s">
        <v>40</v>
      </c>
      <c r="D276">
        <v>67</v>
      </c>
      <c r="E276" t="s">
        <v>16</v>
      </c>
      <c r="F276" t="s">
        <v>17</v>
      </c>
      <c r="G276" t="s">
        <v>11</v>
      </c>
      <c r="H276">
        <v>215</v>
      </c>
      <c r="I276">
        <v>2020</v>
      </c>
      <c r="J276" t="s">
        <v>14</v>
      </c>
      <c r="K276">
        <v>39086.25</v>
      </c>
    </row>
    <row r="277" spans="1:11">
      <c r="A277">
        <v>276</v>
      </c>
      <c r="B277">
        <v>169</v>
      </c>
      <c r="C277" t="s">
        <v>40</v>
      </c>
      <c r="D277">
        <v>67</v>
      </c>
      <c r="E277" t="s">
        <v>16</v>
      </c>
      <c r="F277" t="s">
        <v>10</v>
      </c>
      <c r="G277" t="s">
        <v>13</v>
      </c>
      <c r="H277">
        <v>215</v>
      </c>
      <c r="I277">
        <v>2019</v>
      </c>
      <c r="J277" t="s">
        <v>22</v>
      </c>
      <c r="K277">
        <v>39719.160000000003</v>
      </c>
    </row>
    <row r="278" spans="1:11">
      <c r="A278">
        <v>277</v>
      </c>
      <c r="B278">
        <v>243</v>
      </c>
      <c r="C278" t="s">
        <v>40</v>
      </c>
      <c r="D278">
        <v>67</v>
      </c>
      <c r="E278" t="s">
        <v>16</v>
      </c>
      <c r="F278" t="s">
        <v>19</v>
      </c>
      <c r="G278" t="s">
        <v>11</v>
      </c>
      <c r="H278">
        <v>240</v>
      </c>
      <c r="I278">
        <v>2019</v>
      </c>
      <c r="J278" t="s">
        <v>18</v>
      </c>
      <c r="K278" s="1">
        <v>39854.1</v>
      </c>
    </row>
    <row r="279" spans="1:11">
      <c r="A279">
        <v>278</v>
      </c>
      <c r="B279">
        <v>306</v>
      </c>
      <c r="C279" t="s">
        <v>40</v>
      </c>
      <c r="D279">
        <v>67</v>
      </c>
      <c r="E279" t="s">
        <v>16</v>
      </c>
      <c r="F279" t="s">
        <v>15</v>
      </c>
      <c r="G279" t="s">
        <v>11</v>
      </c>
      <c r="H279">
        <v>175</v>
      </c>
      <c r="I279">
        <v>2021</v>
      </c>
      <c r="J279" t="s">
        <v>18</v>
      </c>
      <c r="K279">
        <v>40851.599999999999</v>
      </c>
    </row>
    <row r="280" spans="1:11">
      <c r="A280">
        <v>279</v>
      </c>
      <c r="B280">
        <v>346</v>
      </c>
      <c r="C280" t="s">
        <v>40</v>
      </c>
      <c r="D280">
        <v>67</v>
      </c>
      <c r="E280" t="s">
        <v>16</v>
      </c>
      <c r="F280" t="s">
        <v>23</v>
      </c>
      <c r="G280" t="s">
        <v>13</v>
      </c>
      <c r="H280">
        <v>195</v>
      </c>
      <c r="I280">
        <v>2021</v>
      </c>
      <c r="J280" t="s">
        <v>12</v>
      </c>
      <c r="K280">
        <v>41354.400000000001</v>
      </c>
    </row>
    <row r="281" spans="1:11">
      <c r="A281">
        <v>280</v>
      </c>
      <c r="B281">
        <v>428</v>
      </c>
      <c r="C281" t="s">
        <v>40</v>
      </c>
      <c r="D281">
        <v>67</v>
      </c>
      <c r="E281" t="s">
        <v>16</v>
      </c>
      <c r="F281" t="s">
        <v>15</v>
      </c>
      <c r="G281" t="s">
        <v>11</v>
      </c>
      <c r="H281">
        <v>195</v>
      </c>
      <c r="I281">
        <v>2022</v>
      </c>
      <c r="J281" t="s">
        <v>18</v>
      </c>
      <c r="K281">
        <v>41653.949999999997</v>
      </c>
    </row>
    <row r="282" spans="1:11">
      <c r="A282">
        <v>281</v>
      </c>
      <c r="B282">
        <v>237</v>
      </c>
      <c r="C282" t="s">
        <v>40</v>
      </c>
      <c r="D282">
        <v>67</v>
      </c>
      <c r="E282" t="s">
        <v>16</v>
      </c>
      <c r="F282" t="s">
        <v>19</v>
      </c>
      <c r="G282" t="s">
        <v>11</v>
      </c>
      <c r="H282">
        <v>220</v>
      </c>
      <c r="I282">
        <v>2019</v>
      </c>
      <c r="J282" t="s">
        <v>14</v>
      </c>
      <c r="K282" s="1">
        <v>42262.559999999998</v>
      </c>
    </row>
    <row r="283" spans="1:11">
      <c r="A283">
        <v>282</v>
      </c>
      <c r="B283">
        <v>37</v>
      </c>
      <c r="C283" t="s">
        <v>40</v>
      </c>
      <c r="D283">
        <v>67</v>
      </c>
      <c r="E283" t="s">
        <v>9</v>
      </c>
      <c r="F283" t="s">
        <v>17</v>
      </c>
      <c r="G283" t="s">
        <v>13</v>
      </c>
      <c r="H283">
        <v>130</v>
      </c>
      <c r="I283">
        <v>2017</v>
      </c>
      <c r="J283" t="s">
        <v>22</v>
      </c>
      <c r="K283">
        <v>82096</v>
      </c>
    </row>
    <row r="284" spans="1:11">
      <c r="A284">
        <v>283</v>
      </c>
      <c r="B284">
        <v>73</v>
      </c>
      <c r="C284" t="s">
        <v>40</v>
      </c>
      <c r="D284">
        <v>67</v>
      </c>
      <c r="E284" t="s">
        <v>9</v>
      </c>
      <c r="F284" t="s">
        <v>15</v>
      </c>
      <c r="G284" t="s">
        <v>13</v>
      </c>
      <c r="H284">
        <v>140</v>
      </c>
      <c r="I284">
        <v>2018</v>
      </c>
      <c r="J284" t="s">
        <v>14</v>
      </c>
      <c r="K284">
        <v>84035.7</v>
      </c>
    </row>
    <row r="285" spans="1:11">
      <c r="A285">
        <v>284</v>
      </c>
      <c r="B285">
        <v>31</v>
      </c>
      <c r="C285" t="s">
        <v>40</v>
      </c>
      <c r="D285">
        <v>67</v>
      </c>
      <c r="E285" t="s">
        <v>9</v>
      </c>
      <c r="F285" t="s">
        <v>15</v>
      </c>
      <c r="G285" t="s">
        <v>13</v>
      </c>
      <c r="H285">
        <v>145</v>
      </c>
      <c r="I285">
        <v>2017</v>
      </c>
      <c r="J285" t="s">
        <v>12</v>
      </c>
      <c r="K285">
        <v>88961</v>
      </c>
    </row>
    <row r="286" spans="1:11">
      <c r="A286">
        <v>285</v>
      </c>
      <c r="B286">
        <v>48</v>
      </c>
      <c r="C286" t="s">
        <v>40</v>
      </c>
      <c r="D286">
        <v>67</v>
      </c>
      <c r="E286" t="s">
        <v>9</v>
      </c>
      <c r="F286" t="s">
        <v>19</v>
      </c>
      <c r="G286" t="s">
        <v>13</v>
      </c>
      <c r="H286">
        <v>120</v>
      </c>
      <c r="I286">
        <v>2018</v>
      </c>
      <c r="J286" t="s">
        <v>14</v>
      </c>
      <c r="K286">
        <v>95682.3</v>
      </c>
    </row>
    <row r="287" spans="1:11">
      <c r="A287">
        <v>286</v>
      </c>
      <c r="B287">
        <v>78</v>
      </c>
      <c r="C287" t="s">
        <v>40</v>
      </c>
      <c r="D287">
        <v>67</v>
      </c>
      <c r="E287" t="s">
        <v>9</v>
      </c>
      <c r="F287" t="s">
        <v>15</v>
      </c>
      <c r="G287" t="s">
        <v>13</v>
      </c>
      <c r="H287">
        <v>140</v>
      </c>
      <c r="I287">
        <v>2018</v>
      </c>
      <c r="J287" t="s">
        <v>12</v>
      </c>
      <c r="K287">
        <v>99832.95</v>
      </c>
    </row>
    <row r="288" spans="1:11">
      <c r="A288">
        <v>287</v>
      </c>
      <c r="B288">
        <v>102</v>
      </c>
      <c r="C288" t="s">
        <v>40</v>
      </c>
      <c r="D288">
        <v>67</v>
      </c>
      <c r="E288" t="s">
        <v>9</v>
      </c>
      <c r="F288" t="s">
        <v>17</v>
      </c>
      <c r="G288" t="s">
        <v>13</v>
      </c>
      <c r="H288">
        <v>150</v>
      </c>
      <c r="I288">
        <v>2018</v>
      </c>
      <c r="J288" t="s">
        <v>22</v>
      </c>
      <c r="K288">
        <v>101430</v>
      </c>
    </row>
    <row r="289" spans="1:11">
      <c r="A289">
        <v>288</v>
      </c>
      <c r="B289">
        <v>65</v>
      </c>
      <c r="C289" t="s">
        <v>40</v>
      </c>
      <c r="D289">
        <v>67</v>
      </c>
      <c r="E289" t="s">
        <v>9</v>
      </c>
      <c r="F289" t="s">
        <v>17</v>
      </c>
      <c r="G289" t="s">
        <v>13</v>
      </c>
      <c r="H289">
        <v>155</v>
      </c>
      <c r="I289">
        <v>2018</v>
      </c>
      <c r="J289" t="s">
        <v>14</v>
      </c>
      <c r="K289" s="1">
        <v>107742.12</v>
      </c>
    </row>
    <row r="290" spans="1:11">
      <c r="A290">
        <v>289</v>
      </c>
      <c r="B290">
        <v>112</v>
      </c>
      <c r="C290" t="s">
        <v>40</v>
      </c>
      <c r="D290">
        <v>67</v>
      </c>
      <c r="E290" t="s">
        <v>9</v>
      </c>
      <c r="F290" t="s">
        <v>17</v>
      </c>
      <c r="G290" t="s">
        <v>13</v>
      </c>
      <c r="H290">
        <v>135</v>
      </c>
      <c r="I290">
        <v>2018</v>
      </c>
      <c r="J290" t="s">
        <v>22</v>
      </c>
      <c r="K290">
        <v>108379.69</v>
      </c>
    </row>
    <row r="291" spans="1:11">
      <c r="A291">
        <v>290</v>
      </c>
      <c r="B291">
        <v>151</v>
      </c>
      <c r="C291" t="s">
        <v>40</v>
      </c>
      <c r="D291">
        <v>66</v>
      </c>
      <c r="E291" t="s">
        <v>9</v>
      </c>
      <c r="F291" t="s">
        <v>17</v>
      </c>
      <c r="G291" t="s">
        <v>13</v>
      </c>
      <c r="H291">
        <v>100</v>
      </c>
      <c r="I291">
        <v>2019</v>
      </c>
      <c r="J291" t="s">
        <v>12</v>
      </c>
      <c r="K291" s="1">
        <v>98223.84</v>
      </c>
    </row>
    <row r="292" spans="1:11">
      <c r="A292">
        <v>291</v>
      </c>
      <c r="B292">
        <v>491</v>
      </c>
      <c r="C292" t="s">
        <v>40</v>
      </c>
      <c r="D292">
        <v>65</v>
      </c>
      <c r="E292" t="s">
        <v>16</v>
      </c>
      <c r="F292" t="s">
        <v>19</v>
      </c>
      <c r="G292" t="s">
        <v>13</v>
      </c>
      <c r="H292">
        <v>225</v>
      </c>
      <c r="I292">
        <v>2022</v>
      </c>
      <c r="J292" t="s">
        <v>12</v>
      </c>
      <c r="K292">
        <v>29931.25</v>
      </c>
    </row>
    <row r="293" spans="1:11">
      <c r="A293">
        <v>292</v>
      </c>
      <c r="B293">
        <v>483</v>
      </c>
      <c r="C293" t="s">
        <v>40</v>
      </c>
      <c r="D293">
        <v>65</v>
      </c>
      <c r="E293" t="s">
        <v>16</v>
      </c>
      <c r="F293" t="s">
        <v>17</v>
      </c>
      <c r="G293" t="s">
        <v>13</v>
      </c>
      <c r="H293">
        <v>245</v>
      </c>
      <c r="I293">
        <v>2022</v>
      </c>
      <c r="J293" t="s">
        <v>14</v>
      </c>
      <c r="K293">
        <v>32045</v>
      </c>
    </row>
    <row r="294" spans="1:11">
      <c r="A294">
        <v>293</v>
      </c>
      <c r="B294">
        <v>473</v>
      </c>
      <c r="C294" t="s">
        <v>40</v>
      </c>
      <c r="D294">
        <v>65</v>
      </c>
      <c r="E294" t="s">
        <v>16</v>
      </c>
      <c r="F294" t="s">
        <v>17</v>
      </c>
      <c r="G294" t="s">
        <v>13</v>
      </c>
      <c r="H294">
        <v>230</v>
      </c>
      <c r="I294">
        <v>2022</v>
      </c>
      <c r="J294" t="s">
        <v>18</v>
      </c>
      <c r="K294">
        <v>32447.5</v>
      </c>
    </row>
    <row r="295" spans="1:11">
      <c r="A295">
        <v>294</v>
      </c>
      <c r="B295">
        <v>343</v>
      </c>
      <c r="C295" t="s">
        <v>40</v>
      </c>
      <c r="D295">
        <v>65</v>
      </c>
      <c r="E295" t="s">
        <v>16</v>
      </c>
      <c r="F295" t="s">
        <v>15</v>
      </c>
      <c r="G295" t="s">
        <v>13</v>
      </c>
      <c r="H295">
        <v>205</v>
      </c>
      <c r="I295">
        <v>2021</v>
      </c>
      <c r="J295" t="s">
        <v>12</v>
      </c>
      <c r="K295">
        <v>33500.400000000001</v>
      </c>
    </row>
    <row r="296" spans="1:11">
      <c r="A296">
        <v>295</v>
      </c>
      <c r="B296">
        <v>376</v>
      </c>
      <c r="C296" t="s">
        <v>40</v>
      </c>
      <c r="D296">
        <v>65</v>
      </c>
      <c r="E296" t="s">
        <v>16</v>
      </c>
      <c r="F296" t="s">
        <v>19</v>
      </c>
      <c r="G296" t="s">
        <v>13</v>
      </c>
      <c r="H296">
        <v>200</v>
      </c>
      <c r="I296">
        <v>2021</v>
      </c>
      <c r="J296" t="s">
        <v>14</v>
      </c>
      <c r="K296">
        <v>35329.199999999997</v>
      </c>
    </row>
    <row r="297" spans="1:11">
      <c r="A297">
        <v>296</v>
      </c>
      <c r="B297">
        <v>171</v>
      </c>
      <c r="C297" t="s">
        <v>40</v>
      </c>
      <c r="D297">
        <v>65</v>
      </c>
      <c r="E297" t="s">
        <v>16</v>
      </c>
      <c r="F297" t="s">
        <v>23</v>
      </c>
      <c r="G297" t="s">
        <v>11</v>
      </c>
      <c r="H297">
        <v>120</v>
      </c>
      <c r="I297">
        <v>2019</v>
      </c>
      <c r="J297" t="s">
        <v>14</v>
      </c>
      <c r="K297">
        <v>35468.400000000001</v>
      </c>
    </row>
    <row r="298" spans="1:11">
      <c r="A298">
        <v>297</v>
      </c>
      <c r="B298">
        <v>148</v>
      </c>
      <c r="C298" t="s">
        <v>40</v>
      </c>
      <c r="D298">
        <v>65</v>
      </c>
      <c r="E298" t="s">
        <v>16</v>
      </c>
      <c r="F298" t="s">
        <v>10</v>
      </c>
      <c r="G298" t="s">
        <v>11</v>
      </c>
      <c r="H298">
        <v>145</v>
      </c>
      <c r="I298">
        <v>2019</v>
      </c>
      <c r="J298" t="s">
        <v>22</v>
      </c>
      <c r="K298">
        <v>39775.32</v>
      </c>
    </row>
    <row r="299" spans="1:11">
      <c r="A299">
        <v>298</v>
      </c>
      <c r="B299">
        <v>156</v>
      </c>
      <c r="C299" t="s">
        <v>40</v>
      </c>
      <c r="D299">
        <v>65</v>
      </c>
      <c r="E299" t="s">
        <v>16</v>
      </c>
      <c r="F299" t="s">
        <v>23</v>
      </c>
      <c r="G299" t="s">
        <v>11</v>
      </c>
      <c r="H299">
        <v>145</v>
      </c>
      <c r="I299">
        <v>2019</v>
      </c>
      <c r="J299" t="s">
        <v>18</v>
      </c>
      <c r="K299">
        <v>42020</v>
      </c>
    </row>
    <row r="300" spans="1:11">
      <c r="A300">
        <v>299</v>
      </c>
      <c r="B300">
        <v>395</v>
      </c>
      <c r="C300" t="s">
        <v>40</v>
      </c>
      <c r="D300">
        <v>65</v>
      </c>
      <c r="E300" t="s">
        <v>16</v>
      </c>
      <c r="F300" t="s">
        <v>19</v>
      </c>
      <c r="G300" t="s">
        <v>13</v>
      </c>
      <c r="H300">
        <v>235</v>
      </c>
      <c r="I300">
        <v>2021</v>
      </c>
      <c r="J300" t="s">
        <v>22</v>
      </c>
      <c r="K300">
        <v>45291.6</v>
      </c>
    </row>
    <row r="301" spans="1:11">
      <c r="A301">
        <v>300</v>
      </c>
      <c r="B301">
        <v>206</v>
      </c>
      <c r="C301" t="s">
        <v>41</v>
      </c>
      <c r="D301">
        <v>64</v>
      </c>
      <c r="E301" t="s">
        <v>16</v>
      </c>
      <c r="F301" t="s">
        <v>17</v>
      </c>
      <c r="G301" t="s">
        <v>11</v>
      </c>
      <c r="H301">
        <v>165</v>
      </c>
      <c r="I301">
        <v>2019</v>
      </c>
      <c r="J301" t="s">
        <v>14</v>
      </c>
      <c r="K301">
        <v>21913.38</v>
      </c>
    </row>
    <row r="302" spans="1:11">
      <c r="A302">
        <v>301</v>
      </c>
      <c r="B302">
        <v>223</v>
      </c>
      <c r="C302" t="s">
        <v>41</v>
      </c>
      <c r="D302">
        <v>64</v>
      </c>
      <c r="E302" t="s">
        <v>16</v>
      </c>
      <c r="F302" t="s">
        <v>10</v>
      </c>
      <c r="G302" t="s">
        <v>13</v>
      </c>
      <c r="H302">
        <v>170</v>
      </c>
      <c r="I302">
        <v>2019</v>
      </c>
      <c r="J302" t="s">
        <v>14</v>
      </c>
      <c r="K302" s="1">
        <v>22600.6</v>
      </c>
    </row>
    <row r="303" spans="1:11">
      <c r="A303">
        <v>302</v>
      </c>
      <c r="B303">
        <v>16</v>
      </c>
      <c r="C303" t="s">
        <v>41</v>
      </c>
      <c r="D303">
        <v>64</v>
      </c>
      <c r="E303" t="s">
        <v>16</v>
      </c>
      <c r="F303" t="s">
        <v>17</v>
      </c>
      <c r="G303" t="s">
        <v>11</v>
      </c>
      <c r="H303">
        <v>210</v>
      </c>
      <c r="I303">
        <v>2017</v>
      </c>
      <c r="J303" t="s">
        <v>14</v>
      </c>
      <c r="K303">
        <v>23964</v>
      </c>
    </row>
    <row r="304" spans="1:11">
      <c r="A304">
        <v>303</v>
      </c>
      <c r="B304">
        <v>213</v>
      </c>
      <c r="C304" t="s">
        <v>41</v>
      </c>
      <c r="D304">
        <v>64</v>
      </c>
      <c r="E304" t="s">
        <v>16</v>
      </c>
      <c r="F304" t="s">
        <v>19</v>
      </c>
      <c r="G304" t="s">
        <v>11</v>
      </c>
      <c r="H304">
        <v>190</v>
      </c>
      <c r="I304">
        <v>2019</v>
      </c>
      <c r="J304" t="s">
        <v>22</v>
      </c>
      <c r="K304">
        <v>25100.9</v>
      </c>
    </row>
    <row r="305" spans="1:11">
      <c r="A305">
        <v>304</v>
      </c>
      <c r="B305">
        <v>118</v>
      </c>
      <c r="C305" t="s">
        <v>41</v>
      </c>
      <c r="D305">
        <v>64</v>
      </c>
      <c r="E305" t="s">
        <v>16</v>
      </c>
      <c r="F305" t="s">
        <v>17</v>
      </c>
      <c r="G305" t="s">
        <v>11</v>
      </c>
      <c r="H305">
        <v>210</v>
      </c>
      <c r="I305">
        <v>2018</v>
      </c>
      <c r="J305" t="s">
        <v>14</v>
      </c>
      <c r="K305" s="1">
        <v>26424.3</v>
      </c>
    </row>
    <row r="306" spans="1:11">
      <c r="A306">
        <v>305</v>
      </c>
      <c r="B306">
        <v>311</v>
      </c>
      <c r="C306" t="s">
        <v>41</v>
      </c>
      <c r="D306">
        <v>64</v>
      </c>
      <c r="E306" t="s">
        <v>16</v>
      </c>
      <c r="F306" t="s">
        <v>23</v>
      </c>
      <c r="G306" t="s">
        <v>11</v>
      </c>
      <c r="H306">
        <v>100</v>
      </c>
      <c r="I306">
        <v>2021</v>
      </c>
      <c r="J306" t="s">
        <v>12</v>
      </c>
      <c r="K306">
        <v>26619.599999999999</v>
      </c>
    </row>
    <row r="307" spans="1:11">
      <c r="A307">
        <v>306</v>
      </c>
      <c r="B307">
        <v>245</v>
      </c>
      <c r="C307" t="s">
        <v>41</v>
      </c>
      <c r="D307">
        <v>64</v>
      </c>
      <c r="E307" t="s">
        <v>16</v>
      </c>
      <c r="F307" t="s">
        <v>23</v>
      </c>
      <c r="G307" t="s">
        <v>13</v>
      </c>
      <c r="H307">
        <v>175</v>
      </c>
      <c r="I307">
        <v>2019</v>
      </c>
      <c r="J307" t="s">
        <v>22</v>
      </c>
      <c r="K307">
        <v>27254.880000000001</v>
      </c>
    </row>
    <row r="308" spans="1:11">
      <c r="A308">
        <v>307</v>
      </c>
      <c r="B308">
        <v>39</v>
      </c>
      <c r="C308" t="s">
        <v>41</v>
      </c>
      <c r="D308">
        <v>64</v>
      </c>
      <c r="E308" t="s">
        <v>16</v>
      </c>
      <c r="F308" t="s">
        <v>19</v>
      </c>
      <c r="G308" t="s">
        <v>11</v>
      </c>
      <c r="H308">
        <v>235</v>
      </c>
      <c r="I308">
        <v>2018</v>
      </c>
      <c r="J308" t="s">
        <v>14</v>
      </c>
      <c r="K308">
        <v>27865.95</v>
      </c>
    </row>
    <row r="309" spans="1:11">
      <c r="A309">
        <v>308</v>
      </c>
      <c r="B309">
        <v>55</v>
      </c>
      <c r="C309" t="s">
        <v>41</v>
      </c>
      <c r="D309">
        <v>64</v>
      </c>
      <c r="E309" t="s">
        <v>16</v>
      </c>
      <c r="F309" t="s">
        <v>23</v>
      </c>
      <c r="G309" t="s">
        <v>13</v>
      </c>
      <c r="H309">
        <v>230</v>
      </c>
      <c r="I309">
        <v>2018</v>
      </c>
      <c r="J309" t="s">
        <v>18</v>
      </c>
      <c r="K309">
        <v>28861.63</v>
      </c>
    </row>
    <row r="310" spans="1:11">
      <c r="A310">
        <v>309</v>
      </c>
      <c r="B310">
        <v>29</v>
      </c>
      <c r="C310" t="s">
        <v>41</v>
      </c>
      <c r="D310">
        <v>64</v>
      </c>
      <c r="E310" t="s">
        <v>16</v>
      </c>
      <c r="F310" t="s">
        <v>17</v>
      </c>
      <c r="G310" t="s">
        <v>11</v>
      </c>
      <c r="H310">
        <v>220</v>
      </c>
      <c r="I310">
        <v>2017</v>
      </c>
      <c r="J310" t="s">
        <v>22</v>
      </c>
      <c r="K310">
        <v>29622</v>
      </c>
    </row>
    <row r="311" spans="1:11">
      <c r="A311">
        <v>310</v>
      </c>
      <c r="B311">
        <v>323</v>
      </c>
      <c r="C311" t="s">
        <v>41</v>
      </c>
      <c r="D311">
        <v>64</v>
      </c>
      <c r="E311" t="s">
        <v>16</v>
      </c>
      <c r="F311" t="s">
        <v>10</v>
      </c>
      <c r="G311" t="s">
        <v>11</v>
      </c>
      <c r="H311">
        <v>115</v>
      </c>
      <c r="I311">
        <v>2021</v>
      </c>
      <c r="J311" t="s">
        <v>18</v>
      </c>
      <c r="K311" s="1">
        <v>29636.3999999999</v>
      </c>
    </row>
    <row r="312" spans="1:11">
      <c r="A312">
        <v>311</v>
      </c>
      <c r="B312">
        <v>170</v>
      </c>
      <c r="C312" t="s">
        <v>41</v>
      </c>
      <c r="D312">
        <v>64</v>
      </c>
      <c r="E312" t="s">
        <v>16</v>
      </c>
      <c r="F312" t="s">
        <v>15</v>
      </c>
      <c r="G312" t="s">
        <v>11</v>
      </c>
      <c r="H312">
        <v>195</v>
      </c>
      <c r="I312">
        <v>2019</v>
      </c>
      <c r="J312" t="s">
        <v>18</v>
      </c>
      <c r="K312" s="1">
        <v>30138.48</v>
      </c>
    </row>
    <row r="313" spans="1:11">
      <c r="A313">
        <v>312</v>
      </c>
      <c r="B313">
        <v>195</v>
      </c>
      <c r="C313" t="s">
        <v>41</v>
      </c>
      <c r="D313">
        <v>64</v>
      </c>
      <c r="E313" t="s">
        <v>16</v>
      </c>
      <c r="F313" t="s">
        <v>17</v>
      </c>
      <c r="G313" t="s">
        <v>11</v>
      </c>
      <c r="H313">
        <v>185</v>
      </c>
      <c r="I313">
        <v>2019</v>
      </c>
      <c r="J313" t="s">
        <v>12</v>
      </c>
      <c r="K313" s="1">
        <v>32039.279999999999</v>
      </c>
    </row>
    <row r="314" spans="1:11">
      <c r="A314">
        <v>313</v>
      </c>
      <c r="B314">
        <v>162</v>
      </c>
      <c r="C314" t="s">
        <v>41</v>
      </c>
      <c r="D314">
        <v>64</v>
      </c>
      <c r="E314" t="s">
        <v>16</v>
      </c>
      <c r="F314" t="s">
        <v>17</v>
      </c>
      <c r="G314" t="s">
        <v>11</v>
      </c>
      <c r="H314">
        <v>175</v>
      </c>
      <c r="I314">
        <v>2019</v>
      </c>
      <c r="J314" t="s">
        <v>18</v>
      </c>
      <c r="K314" s="1">
        <v>34003.74</v>
      </c>
    </row>
    <row r="315" spans="1:11">
      <c r="A315">
        <v>314</v>
      </c>
      <c r="B315">
        <v>123</v>
      </c>
      <c r="C315" t="s">
        <v>41</v>
      </c>
      <c r="D315">
        <v>64</v>
      </c>
      <c r="E315" t="s">
        <v>16</v>
      </c>
      <c r="F315" t="s">
        <v>23</v>
      </c>
      <c r="G315" t="s">
        <v>13</v>
      </c>
      <c r="H315">
        <v>160</v>
      </c>
      <c r="I315">
        <v>2019</v>
      </c>
      <c r="J315" t="s">
        <v>14</v>
      </c>
      <c r="K315" s="1">
        <v>35134.559999999998</v>
      </c>
    </row>
    <row r="316" spans="1:11">
      <c r="A316">
        <v>315</v>
      </c>
      <c r="B316">
        <v>117</v>
      </c>
      <c r="C316" t="s">
        <v>41</v>
      </c>
      <c r="D316">
        <v>64</v>
      </c>
      <c r="E316" t="s">
        <v>16</v>
      </c>
      <c r="F316" t="s">
        <v>19</v>
      </c>
      <c r="G316" t="s">
        <v>11</v>
      </c>
      <c r="H316">
        <v>210</v>
      </c>
      <c r="I316">
        <v>2018</v>
      </c>
      <c r="J316" t="s">
        <v>18</v>
      </c>
      <c r="K316">
        <v>35308.35</v>
      </c>
    </row>
    <row r="317" spans="1:11">
      <c r="A317">
        <v>316</v>
      </c>
      <c r="B317">
        <v>115</v>
      </c>
      <c r="C317" t="s">
        <v>41</v>
      </c>
      <c r="D317">
        <v>64</v>
      </c>
      <c r="E317" t="s">
        <v>16</v>
      </c>
      <c r="F317" t="s">
        <v>17</v>
      </c>
      <c r="G317" t="s">
        <v>11</v>
      </c>
      <c r="H317">
        <v>235</v>
      </c>
      <c r="I317">
        <v>2018</v>
      </c>
      <c r="J317" t="s">
        <v>22</v>
      </c>
      <c r="K317">
        <v>35494.160000000003</v>
      </c>
    </row>
    <row r="318" spans="1:11">
      <c r="A318">
        <v>317</v>
      </c>
      <c r="B318">
        <v>228</v>
      </c>
      <c r="C318" t="s">
        <v>41</v>
      </c>
      <c r="D318">
        <v>64</v>
      </c>
      <c r="E318" t="s">
        <v>16</v>
      </c>
      <c r="F318" t="s">
        <v>19</v>
      </c>
      <c r="G318" t="s">
        <v>11</v>
      </c>
      <c r="H318">
        <v>185</v>
      </c>
      <c r="I318">
        <v>2019</v>
      </c>
      <c r="J318" t="s">
        <v>14</v>
      </c>
      <c r="K318">
        <v>36587.160000000003</v>
      </c>
    </row>
    <row r="319" spans="1:11">
      <c r="A319">
        <v>318</v>
      </c>
      <c r="B319">
        <v>499</v>
      </c>
      <c r="C319" t="s">
        <v>41</v>
      </c>
      <c r="D319">
        <v>64</v>
      </c>
      <c r="E319" t="s">
        <v>16</v>
      </c>
      <c r="F319" t="s">
        <v>23</v>
      </c>
      <c r="G319" t="s">
        <v>11</v>
      </c>
      <c r="H319">
        <v>105</v>
      </c>
      <c r="I319">
        <v>2022</v>
      </c>
      <c r="J319" t="s">
        <v>18</v>
      </c>
      <c r="K319">
        <v>42772.5</v>
      </c>
    </row>
    <row r="320" spans="1:11">
      <c r="A320">
        <v>319</v>
      </c>
      <c r="B320">
        <v>275</v>
      </c>
      <c r="C320" t="s">
        <v>41</v>
      </c>
      <c r="D320">
        <v>64</v>
      </c>
      <c r="E320" t="s">
        <v>16</v>
      </c>
      <c r="F320" t="s">
        <v>19</v>
      </c>
      <c r="G320" t="s">
        <v>11</v>
      </c>
      <c r="H320">
        <v>180</v>
      </c>
      <c r="I320">
        <v>2020</v>
      </c>
      <c r="J320" t="s">
        <v>12</v>
      </c>
      <c r="K320">
        <v>44290</v>
      </c>
    </row>
    <row r="321" spans="1:11">
      <c r="A321">
        <v>320</v>
      </c>
      <c r="B321">
        <v>279</v>
      </c>
      <c r="C321" t="s">
        <v>41</v>
      </c>
      <c r="D321">
        <v>64</v>
      </c>
      <c r="E321" t="s">
        <v>16</v>
      </c>
      <c r="F321" t="s">
        <v>23</v>
      </c>
      <c r="G321" t="s">
        <v>11</v>
      </c>
      <c r="H321">
        <v>115</v>
      </c>
      <c r="I321">
        <v>2021</v>
      </c>
      <c r="J321" t="s">
        <v>14</v>
      </c>
      <c r="K321">
        <v>45005.2</v>
      </c>
    </row>
    <row r="322" spans="1:11">
      <c r="A322">
        <v>321</v>
      </c>
      <c r="B322">
        <v>166</v>
      </c>
      <c r="C322" t="s">
        <v>41</v>
      </c>
      <c r="D322">
        <v>64</v>
      </c>
      <c r="E322" t="s">
        <v>9</v>
      </c>
      <c r="F322" t="s">
        <v>19</v>
      </c>
      <c r="G322" t="s">
        <v>24</v>
      </c>
      <c r="H322">
        <v>95</v>
      </c>
      <c r="I322">
        <v>2019</v>
      </c>
      <c r="J322" t="s">
        <v>14</v>
      </c>
      <c r="K322">
        <v>101584.8</v>
      </c>
    </row>
    <row r="323" spans="1:11">
      <c r="A323">
        <v>322</v>
      </c>
      <c r="B323">
        <v>465</v>
      </c>
      <c r="C323" t="s">
        <v>41</v>
      </c>
      <c r="D323">
        <v>63</v>
      </c>
      <c r="E323" t="s">
        <v>16</v>
      </c>
      <c r="F323" t="s">
        <v>19</v>
      </c>
      <c r="G323" t="s">
        <v>11</v>
      </c>
      <c r="H323">
        <v>150</v>
      </c>
      <c r="I323">
        <v>2022</v>
      </c>
      <c r="J323" t="s">
        <v>14</v>
      </c>
      <c r="K323">
        <v>26068.75</v>
      </c>
    </row>
    <row r="324" spans="1:11">
      <c r="A324">
        <v>323</v>
      </c>
      <c r="B324">
        <v>313</v>
      </c>
      <c r="C324" t="s">
        <v>41</v>
      </c>
      <c r="D324">
        <v>63</v>
      </c>
      <c r="E324" t="s">
        <v>16</v>
      </c>
      <c r="F324" t="s">
        <v>17</v>
      </c>
      <c r="G324" t="s">
        <v>11</v>
      </c>
      <c r="H324">
        <v>140</v>
      </c>
      <c r="I324">
        <v>2021</v>
      </c>
      <c r="J324" t="s">
        <v>18</v>
      </c>
      <c r="K324">
        <v>30336</v>
      </c>
    </row>
    <row r="325" spans="1:11">
      <c r="A325">
        <v>324</v>
      </c>
      <c r="B325">
        <v>377</v>
      </c>
      <c r="C325" t="s">
        <v>41</v>
      </c>
      <c r="D325">
        <v>63</v>
      </c>
      <c r="E325" t="s">
        <v>16</v>
      </c>
      <c r="F325" t="s">
        <v>17</v>
      </c>
      <c r="G325" t="s">
        <v>11</v>
      </c>
      <c r="H325">
        <v>155</v>
      </c>
      <c r="I325">
        <v>2021</v>
      </c>
      <c r="J325" t="s">
        <v>22</v>
      </c>
      <c r="K325">
        <v>33474</v>
      </c>
    </row>
    <row r="326" spans="1:11">
      <c r="A326">
        <v>325</v>
      </c>
      <c r="B326">
        <v>344</v>
      </c>
      <c r="C326" t="s">
        <v>41</v>
      </c>
      <c r="D326">
        <v>63</v>
      </c>
      <c r="E326" t="s">
        <v>16</v>
      </c>
      <c r="F326" t="s">
        <v>19</v>
      </c>
      <c r="G326" t="s">
        <v>11</v>
      </c>
      <c r="H326">
        <v>130</v>
      </c>
      <c r="I326">
        <v>2021</v>
      </c>
      <c r="J326" t="s">
        <v>14</v>
      </c>
      <c r="K326">
        <v>35658</v>
      </c>
    </row>
    <row r="327" spans="1:11">
      <c r="A327">
        <v>326</v>
      </c>
      <c r="B327">
        <v>371</v>
      </c>
      <c r="C327" t="s">
        <v>41</v>
      </c>
      <c r="D327">
        <v>63</v>
      </c>
      <c r="E327" t="s">
        <v>16</v>
      </c>
      <c r="F327" t="s">
        <v>23</v>
      </c>
      <c r="G327" t="s">
        <v>13</v>
      </c>
      <c r="H327">
        <v>135</v>
      </c>
      <c r="I327">
        <v>2021</v>
      </c>
      <c r="J327" t="s">
        <v>18</v>
      </c>
      <c r="K327" s="1">
        <v>35968.799999999901</v>
      </c>
    </row>
    <row r="328" spans="1:11">
      <c r="A328">
        <v>327</v>
      </c>
      <c r="B328">
        <v>382</v>
      </c>
      <c r="C328" t="s">
        <v>41</v>
      </c>
      <c r="D328">
        <v>63</v>
      </c>
      <c r="E328" t="s">
        <v>16</v>
      </c>
      <c r="F328" t="s">
        <v>17</v>
      </c>
      <c r="G328" t="s">
        <v>11</v>
      </c>
      <c r="H328">
        <v>140</v>
      </c>
      <c r="I328">
        <v>2021</v>
      </c>
      <c r="J328" t="s">
        <v>12</v>
      </c>
      <c r="K328">
        <v>37566</v>
      </c>
    </row>
    <row r="329" spans="1:11">
      <c r="A329">
        <v>328</v>
      </c>
      <c r="B329">
        <v>389</v>
      </c>
      <c r="C329" t="s">
        <v>41</v>
      </c>
      <c r="D329">
        <v>63</v>
      </c>
      <c r="E329" t="s">
        <v>16</v>
      </c>
      <c r="F329" t="s">
        <v>17</v>
      </c>
      <c r="G329" t="s">
        <v>11</v>
      </c>
      <c r="H329">
        <v>135</v>
      </c>
      <c r="I329">
        <v>2021</v>
      </c>
      <c r="J329" t="s">
        <v>18</v>
      </c>
      <c r="K329">
        <v>39584.400000000001</v>
      </c>
    </row>
    <row r="330" spans="1:11">
      <c r="A330">
        <v>329</v>
      </c>
      <c r="B330">
        <v>495</v>
      </c>
      <c r="C330" t="s">
        <v>41</v>
      </c>
      <c r="D330">
        <v>63</v>
      </c>
      <c r="E330" t="s">
        <v>16</v>
      </c>
      <c r="F330" t="s">
        <v>19</v>
      </c>
      <c r="G330" t="s">
        <v>11</v>
      </c>
      <c r="H330">
        <v>125</v>
      </c>
      <c r="I330">
        <v>2022</v>
      </c>
      <c r="J330" t="s">
        <v>18</v>
      </c>
      <c r="K330">
        <v>44121.25</v>
      </c>
    </row>
    <row r="331" spans="1:11">
      <c r="A331">
        <v>330</v>
      </c>
      <c r="B331">
        <v>366</v>
      </c>
      <c r="C331" t="s">
        <v>41</v>
      </c>
      <c r="D331">
        <v>63</v>
      </c>
      <c r="E331" t="s">
        <v>16</v>
      </c>
      <c r="F331" t="s">
        <v>19</v>
      </c>
      <c r="G331" t="s">
        <v>11</v>
      </c>
      <c r="H331">
        <v>150</v>
      </c>
      <c r="I331">
        <v>2021</v>
      </c>
      <c r="J331" t="s">
        <v>12</v>
      </c>
      <c r="K331" s="1">
        <v>46180.799999999901</v>
      </c>
    </row>
    <row r="332" spans="1:11">
      <c r="A332">
        <v>331</v>
      </c>
      <c r="B332">
        <v>329</v>
      </c>
      <c r="C332" t="s">
        <v>41</v>
      </c>
      <c r="D332">
        <v>63</v>
      </c>
      <c r="E332" t="s">
        <v>16</v>
      </c>
      <c r="F332" t="s">
        <v>10</v>
      </c>
      <c r="G332" t="s">
        <v>13</v>
      </c>
      <c r="H332">
        <v>120</v>
      </c>
      <c r="I332">
        <v>2021</v>
      </c>
      <c r="J332" t="s">
        <v>14</v>
      </c>
      <c r="K332" s="1">
        <v>46294.799999999901</v>
      </c>
    </row>
    <row r="333" spans="1:11">
      <c r="A333">
        <v>332</v>
      </c>
      <c r="B333">
        <v>455</v>
      </c>
      <c r="C333" t="s">
        <v>41</v>
      </c>
      <c r="D333">
        <v>63</v>
      </c>
      <c r="E333" t="s">
        <v>16</v>
      </c>
      <c r="F333" t="s">
        <v>17</v>
      </c>
      <c r="G333" t="s">
        <v>11</v>
      </c>
      <c r="H333">
        <v>145</v>
      </c>
      <c r="I333">
        <v>2022</v>
      </c>
      <c r="J333" t="s">
        <v>12</v>
      </c>
      <c r="K333">
        <v>49142.19</v>
      </c>
    </row>
    <row r="334" spans="1:11">
      <c r="A334">
        <v>333</v>
      </c>
      <c r="B334">
        <v>99</v>
      </c>
      <c r="C334" t="s">
        <v>41</v>
      </c>
      <c r="D334">
        <v>63</v>
      </c>
      <c r="E334" t="s">
        <v>9</v>
      </c>
      <c r="F334" t="s">
        <v>19</v>
      </c>
      <c r="G334" t="s">
        <v>13</v>
      </c>
      <c r="H334">
        <v>90</v>
      </c>
      <c r="I334">
        <v>2018</v>
      </c>
      <c r="J334" t="s">
        <v>14</v>
      </c>
      <c r="K334">
        <v>94621.28</v>
      </c>
    </row>
    <row r="335" spans="1:11">
      <c r="A335">
        <v>334</v>
      </c>
      <c r="B335">
        <v>3</v>
      </c>
      <c r="C335" t="s">
        <v>41</v>
      </c>
      <c r="D335">
        <v>63</v>
      </c>
      <c r="E335" t="s">
        <v>9</v>
      </c>
      <c r="F335" t="s">
        <v>15</v>
      </c>
      <c r="G335" t="s">
        <v>13</v>
      </c>
      <c r="H335">
        <v>110</v>
      </c>
      <c r="I335">
        <v>2017</v>
      </c>
      <c r="J335" t="s">
        <v>14</v>
      </c>
      <c r="K335">
        <v>104673</v>
      </c>
    </row>
    <row r="336" spans="1:11">
      <c r="A336">
        <v>335</v>
      </c>
      <c r="B336">
        <v>83</v>
      </c>
      <c r="C336" t="s">
        <v>41</v>
      </c>
      <c r="D336">
        <v>62</v>
      </c>
      <c r="E336" t="s">
        <v>16</v>
      </c>
      <c r="F336" t="s">
        <v>23</v>
      </c>
      <c r="G336" t="s">
        <v>11</v>
      </c>
      <c r="H336">
        <v>120</v>
      </c>
      <c r="I336">
        <v>2018</v>
      </c>
      <c r="J336" t="s">
        <v>18</v>
      </c>
      <c r="K336">
        <v>24696.31</v>
      </c>
    </row>
    <row r="337" spans="1:11">
      <c r="A337">
        <v>336</v>
      </c>
      <c r="B337">
        <v>150</v>
      </c>
      <c r="C337" t="s">
        <v>41</v>
      </c>
      <c r="D337">
        <v>62</v>
      </c>
      <c r="E337" t="s">
        <v>16</v>
      </c>
      <c r="F337" t="s">
        <v>17</v>
      </c>
      <c r="G337" t="s">
        <v>13</v>
      </c>
      <c r="H337">
        <v>205</v>
      </c>
      <c r="I337">
        <v>2019</v>
      </c>
      <c r="J337" t="s">
        <v>14</v>
      </c>
      <c r="K337">
        <v>26139.24</v>
      </c>
    </row>
    <row r="338" spans="1:11">
      <c r="A338">
        <v>337</v>
      </c>
      <c r="B338">
        <v>373</v>
      </c>
      <c r="C338" t="s">
        <v>41</v>
      </c>
      <c r="D338">
        <v>62</v>
      </c>
      <c r="E338" t="s">
        <v>16</v>
      </c>
      <c r="F338" t="s">
        <v>17</v>
      </c>
      <c r="G338" t="s">
        <v>13</v>
      </c>
      <c r="H338">
        <v>165</v>
      </c>
      <c r="I338">
        <v>2021</v>
      </c>
      <c r="J338" t="s">
        <v>22</v>
      </c>
      <c r="K338">
        <v>28458</v>
      </c>
    </row>
    <row r="339" spans="1:11">
      <c r="A339">
        <v>338</v>
      </c>
      <c r="B339">
        <v>209</v>
      </c>
      <c r="C339" t="s">
        <v>41</v>
      </c>
      <c r="D339">
        <v>62</v>
      </c>
      <c r="E339" t="s">
        <v>16</v>
      </c>
      <c r="F339" t="s">
        <v>17</v>
      </c>
      <c r="G339" t="s">
        <v>13</v>
      </c>
      <c r="H339">
        <v>240</v>
      </c>
      <c r="I339">
        <v>2019</v>
      </c>
      <c r="J339" t="s">
        <v>18</v>
      </c>
      <c r="K339" s="1">
        <v>30456.98</v>
      </c>
    </row>
    <row r="340" spans="1:11">
      <c r="A340">
        <v>339</v>
      </c>
      <c r="B340">
        <v>74</v>
      </c>
      <c r="C340" t="s">
        <v>41</v>
      </c>
      <c r="D340">
        <v>62</v>
      </c>
      <c r="E340" t="s">
        <v>16</v>
      </c>
      <c r="F340" t="s">
        <v>23</v>
      </c>
      <c r="G340" t="s">
        <v>11</v>
      </c>
      <c r="H340">
        <v>125</v>
      </c>
      <c r="I340">
        <v>2018</v>
      </c>
      <c r="J340" t="s">
        <v>18</v>
      </c>
      <c r="K340">
        <v>31138.639999999999</v>
      </c>
    </row>
    <row r="341" spans="1:11">
      <c r="A341">
        <v>340</v>
      </c>
      <c r="B341">
        <v>402</v>
      </c>
      <c r="C341" t="s">
        <v>41</v>
      </c>
      <c r="D341">
        <v>62</v>
      </c>
      <c r="E341" t="s">
        <v>16</v>
      </c>
      <c r="F341" t="s">
        <v>19</v>
      </c>
      <c r="G341" t="s">
        <v>13</v>
      </c>
      <c r="H341">
        <v>165</v>
      </c>
      <c r="I341">
        <v>2021</v>
      </c>
      <c r="J341" t="s">
        <v>18</v>
      </c>
      <c r="K341">
        <v>33697.199999999997</v>
      </c>
    </row>
    <row r="342" spans="1:11">
      <c r="A342">
        <v>341</v>
      </c>
      <c r="B342">
        <v>424</v>
      </c>
      <c r="C342" t="s">
        <v>41</v>
      </c>
      <c r="D342">
        <v>62</v>
      </c>
      <c r="E342" t="s">
        <v>16</v>
      </c>
      <c r="F342" t="s">
        <v>15</v>
      </c>
      <c r="G342" t="s">
        <v>13</v>
      </c>
      <c r="H342">
        <v>190</v>
      </c>
      <c r="I342">
        <v>2022</v>
      </c>
      <c r="J342" t="s">
        <v>14</v>
      </c>
      <c r="K342">
        <v>34626.959999999999</v>
      </c>
    </row>
    <row r="343" spans="1:11">
      <c r="A343">
        <v>342</v>
      </c>
      <c r="B343">
        <v>218</v>
      </c>
      <c r="C343" t="s">
        <v>41</v>
      </c>
      <c r="D343">
        <v>62</v>
      </c>
      <c r="E343" t="s">
        <v>16</v>
      </c>
      <c r="F343" t="s">
        <v>15</v>
      </c>
      <c r="G343" t="s">
        <v>13</v>
      </c>
      <c r="H343">
        <v>205</v>
      </c>
      <c r="I343">
        <v>2019</v>
      </c>
      <c r="J343" t="s">
        <v>18</v>
      </c>
      <c r="K343" s="1">
        <v>35850.6</v>
      </c>
    </row>
    <row r="344" spans="1:11">
      <c r="A344">
        <v>343</v>
      </c>
      <c r="B344">
        <v>374</v>
      </c>
      <c r="C344" t="s">
        <v>41</v>
      </c>
      <c r="D344">
        <v>62</v>
      </c>
      <c r="E344" t="s">
        <v>16</v>
      </c>
      <c r="F344" t="s">
        <v>17</v>
      </c>
      <c r="G344" t="s">
        <v>13</v>
      </c>
      <c r="H344">
        <v>175</v>
      </c>
      <c r="I344">
        <v>2021</v>
      </c>
      <c r="J344" t="s">
        <v>22</v>
      </c>
      <c r="K344" s="1">
        <v>35860.799999999901</v>
      </c>
    </row>
    <row r="345" spans="1:11">
      <c r="A345">
        <v>344</v>
      </c>
      <c r="B345">
        <v>85</v>
      </c>
      <c r="C345" t="s">
        <v>41</v>
      </c>
      <c r="D345">
        <v>62</v>
      </c>
      <c r="E345" t="s">
        <v>16</v>
      </c>
      <c r="F345" t="s">
        <v>23</v>
      </c>
      <c r="G345" t="s">
        <v>11</v>
      </c>
      <c r="H345">
        <v>155</v>
      </c>
      <c r="I345">
        <v>2018</v>
      </c>
      <c r="J345" t="s">
        <v>22</v>
      </c>
      <c r="K345" s="1">
        <v>36601.949999999997</v>
      </c>
    </row>
    <row r="346" spans="1:11">
      <c r="A346">
        <v>345</v>
      </c>
      <c r="B346">
        <v>119</v>
      </c>
      <c r="C346" t="s">
        <v>41</v>
      </c>
      <c r="D346">
        <v>62</v>
      </c>
      <c r="E346" t="s">
        <v>16</v>
      </c>
      <c r="F346" t="s">
        <v>10</v>
      </c>
      <c r="G346" t="s">
        <v>11</v>
      </c>
      <c r="H346">
        <v>155</v>
      </c>
      <c r="I346">
        <v>2018</v>
      </c>
      <c r="J346" t="s">
        <v>12</v>
      </c>
      <c r="K346">
        <v>37741.599999999999</v>
      </c>
    </row>
    <row r="347" spans="1:11">
      <c r="A347">
        <v>346</v>
      </c>
      <c r="B347">
        <v>263</v>
      </c>
      <c r="C347" t="s">
        <v>41</v>
      </c>
      <c r="D347">
        <v>62</v>
      </c>
      <c r="E347" t="s">
        <v>16</v>
      </c>
      <c r="F347" t="s">
        <v>17</v>
      </c>
      <c r="G347" t="s">
        <v>13</v>
      </c>
      <c r="H347">
        <v>245</v>
      </c>
      <c r="I347">
        <v>2020</v>
      </c>
      <c r="J347" t="s">
        <v>14</v>
      </c>
      <c r="K347">
        <v>37775</v>
      </c>
    </row>
    <row r="348" spans="1:11">
      <c r="A348">
        <v>347</v>
      </c>
      <c r="B348">
        <v>289</v>
      </c>
      <c r="C348" t="s">
        <v>41</v>
      </c>
      <c r="D348">
        <v>62</v>
      </c>
      <c r="E348" t="s">
        <v>16</v>
      </c>
      <c r="F348" t="s">
        <v>17</v>
      </c>
      <c r="G348" t="s">
        <v>13</v>
      </c>
      <c r="H348">
        <v>175</v>
      </c>
      <c r="I348">
        <v>2021</v>
      </c>
      <c r="J348" t="s">
        <v>12</v>
      </c>
      <c r="K348">
        <v>41454</v>
      </c>
    </row>
    <row r="349" spans="1:11">
      <c r="A349">
        <v>348</v>
      </c>
      <c r="B349">
        <v>363</v>
      </c>
      <c r="C349" t="s">
        <v>41</v>
      </c>
      <c r="D349">
        <v>62</v>
      </c>
      <c r="E349" t="s">
        <v>16</v>
      </c>
      <c r="F349" t="s">
        <v>19</v>
      </c>
      <c r="G349" t="s">
        <v>13</v>
      </c>
      <c r="H349">
        <v>185</v>
      </c>
      <c r="I349">
        <v>2021</v>
      </c>
      <c r="J349" t="s">
        <v>22</v>
      </c>
      <c r="K349">
        <v>44119.199999999997</v>
      </c>
    </row>
    <row r="350" spans="1:11">
      <c r="A350">
        <v>349</v>
      </c>
      <c r="B350">
        <v>470</v>
      </c>
      <c r="C350" t="s">
        <v>41</v>
      </c>
      <c r="D350">
        <v>62</v>
      </c>
      <c r="E350" t="s">
        <v>16</v>
      </c>
      <c r="F350" t="s">
        <v>15</v>
      </c>
      <c r="G350" t="s">
        <v>13</v>
      </c>
      <c r="H350">
        <v>170</v>
      </c>
      <c r="I350">
        <v>2022</v>
      </c>
      <c r="J350" t="s">
        <v>12</v>
      </c>
      <c r="K350">
        <v>49023.75</v>
      </c>
    </row>
    <row r="351" spans="1:11">
      <c r="A351">
        <v>350</v>
      </c>
      <c r="B351">
        <v>81</v>
      </c>
      <c r="C351" t="s">
        <v>41</v>
      </c>
      <c r="D351">
        <v>61</v>
      </c>
      <c r="E351" t="s">
        <v>16</v>
      </c>
      <c r="F351" t="s">
        <v>17</v>
      </c>
      <c r="G351" t="s">
        <v>11</v>
      </c>
      <c r="H351">
        <v>180</v>
      </c>
      <c r="I351">
        <v>2018</v>
      </c>
      <c r="J351" t="s">
        <v>14</v>
      </c>
      <c r="K351" s="1">
        <v>22632.19</v>
      </c>
    </row>
    <row r="352" spans="1:11">
      <c r="A352">
        <v>351</v>
      </c>
      <c r="B352">
        <v>46</v>
      </c>
      <c r="C352" t="s">
        <v>41</v>
      </c>
      <c r="D352">
        <v>61</v>
      </c>
      <c r="E352" t="s">
        <v>16</v>
      </c>
      <c r="F352" t="s">
        <v>17</v>
      </c>
      <c r="G352" t="s">
        <v>11</v>
      </c>
      <c r="H352">
        <v>195</v>
      </c>
      <c r="I352">
        <v>2018</v>
      </c>
      <c r="J352" t="s">
        <v>14</v>
      </c>
      <c r="K352">
        <v>23549.4</v>
      </c>
    </row>
    <row r="353" spans="1:11">
      <c r="A353">
        <v>352</v>
      </c>
      <c r="B353">
        <v>87</v>
      </c>
      <c r="C353" t="s">
        <v>41</v>
      </c>
      <c r="D353">
        <v>61</v>
      </c>
      <c r="E353" t="s">
        <v>16</v>
      </c>
      <c r="F353" t="s">
        <v>10</v>
      </c>
      <c r="G353" t="s">
        <v>13</v>
      </c>
      <c r="H353">
        <v>195</v>
      </c>
      <c r="I353">
        <v>2018</v>
      </c>
      <c r="J353" t="s">
        <v>22</v>
      </c>
      <c r="K353" s="1">
        <v>26408.17</v>
      </c>
    </row>
    <row r="354" spans="1:11">
      <c r="A354">
        <v>353</v>
      </c>
      <c r="B354">
        <v>254</v>
      </c>
      <c r="C354" t="s">
        <v>41</v>
      </c>
      <c r="D354">
        <v>61</v>
      </c>
      <c r="E354" t="s">
        <v>16</v>
      </c>
      <c r="F354" t="s">
        <v>23</v>
      </c>
      <c r="G354" t="s">
        <v>11</v>
      </c>
      <c r="H354">
        <v>105</v>
      </c>
      <c r="I354">
        <v>2019</v>
      </c>
      <c r="J354" t="s">
        <v>14</v>
      </c>
      <c r="K354">
        <v>29835.82</v>
      </c>
    </row>
    <row r="355" spans="1:11">
      <c r="A355">
        <v>354</v>
      </c>
      <c r="B355">
        <v>185</v>
      </c>
      <c r="C355" t="s">
        <v>41</v>
      </c>
      <c r="D355">
        <v>61</v>
      </c>
      <c r="E355" t="s">
        <v>16</v>
      </c>
      <c r="F355" t="s">
        <v>23</v>
      </c>
      <c r="G355" t="s">
        <v>11</v>
      </c>
      <c r="H355">
        <v>110</v>
      </c>
      <c r="I355">
        <v>2019</v>
      </c>
      <c r="J355" t="s">
        <v>18</v>
      </c>
      <c r="K355">
        <v>30366.880000000001</v>
      </c>
    </row>
    <row r="356" spans="1:11">
      <c r="A356">
        <v>355</v>
      </c>
      <c r="B356">
        <v>140</v>
      </c>
      <c r="C356" t="s">
        <v>41</v>
      </c>
      <c r="D356">
        <v>61</v>
      </c>
      <c r="E356" t="s">
        <v>16</v>
      </c>
      <c r="F356" t="s">
        <v>10</v>
      </c>
      <c r="G356" t="s">
        <v>11</v>
      </c>
      <c r="H356">
        <v>95</v>
      </c>
      <c r="I356">
        <v>2019</v>
      </c>
      <c r="J356" t="s">
        <v>22</v>
      </c>
      <c r="K356">
        <v>31352.68</v>
      </c>
    </row>
    <row r="357" spans="1:11">
      <c r="A357">
        <v>356</v>
      </c>
      <c r="B357">
        <v>219</v>
      </c>
      <c r="C357" t="s">
        <v>41</v>
      </c>
      <c r="D357">
        <v>61</v>
      </c>
      <c r="E357" t="s">
        <v>16</v>
      </c>
      <c r="F357" t="s">
        <v>23</v>
      </c>
      <c r="G357" t="s">
        <v>11</v>
      </c>
      <c r="H357">
        <v>110</v>
      </c>
      <c r="I357">
        <v>2019</v>
      </c>
      <c r="J357" t="s">
        <v>18</v>
      </c>
      <c r="K357" s="1">
        <v>31851.94</v>
      </c>
    </row>
    <row r="358" spans="1:11">
      <c r="A358">
        <v>357</v>
      </c>
      <c r="B358">
        <v>105</v>
      </c>
      <c r="C358" t="s">
        <v>41</v>
      </c>
      <c r="D358">
        <v>61</v>
      </c>
      <c r="E358" t="s">
        <v>16</v>
      </c>
      <c r="F358" t="s">
        <v>17</v>
      </c>
      <c r="G358" t="s">
        <v>11</v>
      </c>
      <c r="H358">
        <v>160</v>
      </c>
      <c r="I358">
        <v>2018</v>
      </c>
      <c r="J358" t="s">
        <v>18</v>
      </c>
      <c r="K358">
        <v>33072.9</v>
      </c>
    </row>
    <row r="359" spans="1:11">
      <c r="A359">
        <v>358</v>
      </c>
      <c r="B359">
        <v>33</v>
      </c>
      <c r="C359" t="s">
        <v>41</v>
      </c>
      <c r="D359">
        <v>61</v>
      </c>
      <c r="E359" t="s">
        <v>16</v>
      </c>
      <c r="F359" t="s">
        <v>19</v>
      </c>
      <c r="G359" t="s">
        <v>11</v>
      </c>
      <c r="H359">
        <v>160</v>
      </c>
      <c r="I359">
        <v>2017</v>
      </c>
      <c r="J359" t="s">
        <v>22</v>
      </c>
      <c r="K359">
        <v>33341</v>
      </c>
    </row>
    <row r="360" spans="1:11">
      <c r="A360">
        <v>359</v>
      </c>
      <c r="B360">
        <v>261</v>
      </c>
      <c r="C360" t="s">
        <v>41</v>
      </c>
      <c r="D360">
        <v>61</v>
      </c>
      <c r="E360" t="s">
        <v>16</v>
      </c>
      <c r="F360" t="s">
        <v>10</v>
      </c>
      <c r="G360" t="s">
        <v>11</v>
      </c>
      <c r="H360">
        <v>115</v>
      </c>
      <c r="I360">
        <v>2020</v>
      </c>
      <c r="J360" t="s">
        <v>18</v>
      </c>
      <c r="K360">
        <v>35066.25</v>
      </c>
    </row>
    <row r="361" spans="1:11">
      <c r="A361">
        <v>360</v>
      </c>
      <c r="B361">
        <v>108</v>
      </c>
      <c r="C361" t="s">
        <v>41</v>
      </c>
      <c r="D361">
        <v>61</v>
      </c>
      <c r="E361" t="s">
        <v>16</v>
      </c>
      <c r="F361" t="s">
        <v>15</v>
      </c>
      <c r="G361" t="s">
        <v>11</v>
      </c>
      <c r="H361">
        <v>185</v>
      </c>
      <c r="I361">
        <v>2018</v>
      </c>
      <c r="J361" t="s">
        <v>12</v>
      </c>
      <c r="K361">
        <v>37694.910000000003</v>
      </c>
    </row>
    <row r="362" spans="1:11">
      <c r="A362">
        <v>361</v>
      </c>
      <c r="B362">
        <v>80</v>
      </c>
      <c r="C362" t="s">
        <v>41</v>
      </c>
      <c r="D362">
        <v>61</v>
      </c>
      <c r="E362" t="s">
        <v>16</v>
      </c>
      <c r="F362" t="s">
        <v>19</v>
      </c>
      <c r="G362" t="s">
        <v>11</v>
      </c>
      <c r="H362">
        <v>170</v>
      </c>
      <c r="I362">
        <v>2018</v>
      </c>
      <c r="J362" t="s">
        <v>12</v>
      </c>
      <c r="K362">
        <v>40431.300000000003</v>
      </c>
    </row>
    <row r="363" spans="1:11">
      <c r="A363">
        <v>362</v>
      </c>
      <c r="B363">
        <v>177</v>
      </c>
      <c r="C363" t="s">
        <v>41</v>
      </c>
      <c r="D363">
        <v>60</v>
      </c>
      <c r="E363" t="s">
        <v>16</v>
      </c>
      <c r="F363" t="s">
        <v>19</v>
      </c>
      <c r="G363" t="s">
        <v>11</v>
      </c>
      <c r="H363">
        <v>150</v>
      </c>
      <c r="I363">
        <v>2019</v>
      </c>
      <c r="J363" t="s">
        <v>18</v>
      </c>
      <c r="K363" s="1">
        <v>28757.8</v>
      </c>
    </row>
    <row r="364" spans="1:11">
      <c r="A364">
        <v>363</v>
      </c>
      <c r="B364">
        <v>193</v>
      </c>
      <c r="C364" t="s">
        <v>41</v>
      </c>
      <c r="D364">
        <v>60</v>
      </c>
      <c r="E364" t="s">
        <v>16</v>
      </c>
      <c r="F364" t="s">
        <v>17</v>
      </c>
      <c r="G364" t="s">
        <v>11</v>
      </c>
      <c r="H364">
        <v>155</v>
      </c>
      <c r="I364">
        <v>2019</v>
      </c>
      <c r="J364" t="s">
        <v>22</v>
      </c>
      <c r="K364">
        <v>29115.02</v>
      </c>
    </row>
    <row r="365" spans="1:11">
      <c r="A365">
        <v>364</v>
      </c>
      <c r="B365">
        <v>192</v>
      </c>
      <c r="C365" t="s">
        <v>41</v>
      </c>
      <c r="D365">
        <v>60</v>
      </c>
      <c r="E365" t="s">
        <v>16</v>
      </c>
      <c r="F365" t="s">
        <v>19</v>
      </c>
      <c r="G365" t="s">
        <v>11</v>
      </c>
      <c r="H365">
        <v>135</v>
      </c>
      <c r="I365">
        <v>2019</v>
      </c>
      <c r="J365" t="s">
        <v>14</v>
      </c>
      <c r="K365">
        <v>30542.84</v>
      </c>
    </row>
    <row r="366" spans="1:11">
      <c r="A366">
        <v>365</v>
      </c>
      <c r="B366">
        <v>221</v>
      </c>
      <c r="C366" t="s">
        <v>41</v>
      </c>
      <c r="D366">
        <v>60</v>
      </c>
      <c r="E366" t="s">
        <v>16</v>
      </c>
      <c r="F366" t="s">
        <v>15</v>
      </c>
      <c r="G366" t="s">
        <v>11</v>
      </c>
      <c r="H366">
        <v>145</v>
      </c>
      <c r="I366">
        <v>2019</v>
      </c>
      <c r="J366" t="s">
        <v>14</v>
      </c>
      <c r="K366">
        <v>31720.68</v>
      </c>
    </row>
    <row r="367" spans="1:11">
      <c r="A367">
        <v>366</v>
      </c>
      <c r="B367">
        <v>253</v>
      </c>
      <c r="C367" t="s">
        <v>41</v>
      </c>
      <c r="D367">
        <v>60</v>
      </c>
      <c r="E367" t="s">
        <v>16</v>
      </c>
      <c r="F367" t="s">
        <v>17</v>
      </c>
      <c r="G367" t="s">
        <v>11</v>
      </c>
      <c r="H367">
        <v>155</v>
      </c>
      <c r="I367">
        <v>2019</v>
      </c>
      <c r="J367" t="s">
        <v>18</v>
      </c>
      <c r="K367" s="1">
        <v>32231.42</v>
      </c>
    </row>
    <row r="368" spans="1:11">
      <c r="A368">
        <v>367</v>
      </c>
      <c r="B368">
        <v>199</v>
      </c>
      <c r="C368" t="s">
        <v>41</v>
      </c>
      <c r="D368">
        <v>60</v>
      </c>
      <c r="E368" t="s">
        <v>16</v>
      </c>
      <c r="F368" t="s">
        <v>17</v>
      </c>
      <c r="G368" t="s">
        <v>11</v>
      </c>
      <c r="H368">
        <v>120</v>
      </c>
      <c r="I368">
        <v>2019</v>
      </c>
      <c r="J368" t="s">
        <v>14</v>
      </c>
      <c r="K368">
        <v>35300.120000000003</v>
      </c>
    </row>
    <row r="369" spans="1:11">
      <c r="A369">
        <v>368</v>
      </c>
      <c r="B369">
        <v>160</v>
      </c>
      <c r="C369" t="s">
        <v>41</v>
      </c>
      <c r="D369">
        <v>60</v>
      </c>
      <c r="E369" t="s">
        <v>16</v>
      </c>
      <c r="F369" t="s">
        <v>19</v>
      </c>
      <c r="G369" t="s">
        <v>11</v>
      </c>
      <c r="H369">
        <v>145</v>
      </c>
      <c r="I369">
        <v>2019</v>
      </c>
      <c r="J369" t="s">
        <v>22</v>
      </c>
      <c r="K369">
        <v>36601.4</v>
      </c>
    </row>
    <row r="370" spans="1:11">
      <c r="A370">
        <v>369</v>
      </c>
      <c r="B370">
        <v>127</v>
      </c>
      <c r="C370" t="s">
        <v>41</v>
      </c>
      <c r="D370">
        <v>59</v>
      </c>
      <c r="E370" t="s">
        <v>16</v>
      </c>
      <c r="F370" t="s">
        <v>17</v>
      </c>
      <c r="G370" t="s">
        <v>13</v>
      </c>
      <c r="H370">
        <v>170</v>
      </c>
      <c r="I370">
        <v>2019</v>
      </c>
      <c r="J370" t="s">
        <v>18</v>
      </c>
      <c r="K370" s="1">
        <v>28017.919999999998</v>
      </c>
    </row>
    <row r="371" spans="1:11">
      <c r="A371">
        <v>370</v>
      </c>
      <c r="B371">
        <v>321</v>
      </c>
      <c r="C371" t="s">
        <v>41</v>
      </c>
      <c r="D371">
        <v>59</v>
      </c>
      <c r="E371" t="s">
        <v>16</v>
      </c>
      <c r="F371" t="s">
        <v>15</v>
      </c>
      <c r="G371" t="s">
        <v>11</v>
      </c>
      <c r="H371">
        <v>110</v>
      </c>
      <c r="I371">
        <v>2021</v>
      </c>
      <c r="J371" t="s">
        <v>14</v>
      </c>
      <c r="K371">
        <v>30102</v>
      </c>
    </row>
    <row r="372" spans="1:11">
      <c r="A372">
        <v>371</v>
      </c>
      <c r="B372">
        <v>418</v>
      </c>
      <c r="C372" t="s">
        <v>41</v>
      </c>
      <c r="D372">
        <v>59</v>
      </c>
      <c r="E372" t="s">
        <v>16</v>
      </c>
      <c r="F372" t="s">
        <v>15</v>
      </c>
      <c r="G372" t="s">
        <v>11</v>
      </c>
      <c r="H372">
        <v>115</v>
      </c>
      <c r="I372">
        <v>2022</v>
      </c>
      <c r="J372" t="s">
        <v>18</v>
      </c>
      <c r="K372">
        <v>31531.05</v>
      </c>
    </row>
    <row r="373" spans="1:11">
      <c r="A373">
        <v>372</v>
      </c>
      <c r="B373">
        <v>482</v>
      </c>
      <c r="C373" t="s">
        <v>41</v>
      </c>
      <c r="D373">
        <v>59</v>
      </c>
      <c r="E373" t="s">
        <v>16</v>
      </c>
      <c r="F373" t="s">
        <v>17</v>
      </c>
      <c r="G373" t="s">
        <v>11</v>
      </c>
      <c r="H373">
        <v>110</v>
      </c>
      <c r="I373">
        <v>2022</v>
      </c>
      <c r="J373" t="s">
        <v>12</v>
      </c>
      <c r="K373">
        <v>32543.75</v>
      </c>
    </row>
    <row r="374" spans="1:11">
      <c r="A374">
        <v>373</v>
      </c>
      <c r="B374">
        <v>183</v>
      </c>
      <c r="C374" t="s">
        <v>41</v>
      </c>
      <c r="D374">
        <v>59</v>
      </c>
      <c r="E374" t="s">
        <v>16</v>
      </c>
      <c r="F374" t="s">
        <v>15</v>
      </c>
      <c r="G374" t="s">
        <v>13</v>
      </c>
      <c r="H374">
        <v>195</v>
      </c>
      <c r="I374">
        <v>2019</v>
      </c>
      <c r="J374" t="s">
        <v>22</v>
      </c>
      <c r="K374">
        <v>34563.42</v>
      </c>
    </row>
    <row r="375" spans="1:11">
      <c r="A375">
        <v>374</v>
      </c>
      <c r="B375">
        <v>248</v>
      </c>
      <c r="C375" t="s">
        <v>41</v>
      </c>
      <c r="D375">
        <v>59</v>
      </c>
      <c r="E375" t="s">
        <v>16</v>
      </c>
      <c r="F375" t="s">
        <v>19</v>
      </c>
      <c r="G375" t="s">
        <v>13</v>
      </c>
      <c r="H375">
        <v>160</v>
      </c>
      <c r="I375">
        <v>2019</v>
      </c>
      <c r="J375" t="s">
        <v>22</v>
      </c>
      <c r="K375">
        <v>38049.480000000003</v>
      </c>
    </row>
    <row r="376" spans="1:11">
      <c r="A376">
        <v>375</v>
      </c>
      <c r="B376">
        <v>375</v>
      </c>
      <c r="C376" t="s">
        <v>41</v>
      </c>
      <c r="D376">
        <v>59</v>
      </c>
      <c r="E376" t="s">
        <v>16</v>
      </c>
      <c r="F376" t="s">
        <v>19</v>
      </c>
      <c r="G376" t="s">
        <v>11</v>
      </c>
      <c r="H376">
        <v>115</v>
      </c>
      <c r="I376">
        <v>2021</v>
      </c>
      <c r="J376" t="s">
        <v>18</v>
      </c>
      <c r="K376">
        <v>39402</v>
      </c>
    </row>
    <row r="377" spans="1:11">
      <c r="A377">
        <v>376</v>
      </c>
      <c r="B377">
        <v>143</v>
      </c>
      <c r="C377" t="s">
        <v>41</v>
      </c>
      <c r="D377">
        <v>59</v>
      </c>
      <c r="E377" t="s">
        <v>16</v>
      </c>
      <c r="F377" t="s">
        <v>17</v>
      </c>
      <c r="G377" t="s">
        <v>13</v>
      </c>
      <c r="H377">
        <v>160</v>
      </c>
      <c r="I377">
        <v>2019</v>
      </c>
      <c r="J377" t="s">
        <v>12</v>
      </c>
      <c r="K377">
        <v>40195.440000000002</v>
      </c>
    </row>
    <row r="378" spans="1:11">
      <c r="A378">
        <v>377</v>
      </c>
      <c r="B378">
        <v>467</v>
      </c>
      <c r="C378" t="s">
        <v>41</v>
      </c>
      <c r="D378">
        <v>59</v>
      </c>
      <c r="E378" t="s">
        <v>16</v>
      </c>
      <c r="F378" t="s">
        <v>23</v>
      </c>
      <c r="G378" t="s">
        <v>13</v>
      </c>
      <c r="H378">
        <v>95</v>
      </c>
      <c r="I378">
        <v>2022</v>
      </c>
      <c r="J378" t="s">
        <v>12</v>
      </c>
      <c r="K378">
        <v>47280</v>
      </c>
    </row>
    <row r="379" spans="1:11">
      <c r="A379">
        <v>378</v>
      </c>
      <c r="B379">
        <v>211</v>
      </c>
      <c r="C379" t="s">
        <v>41</v>
      </c>
      <c r="D379">
        <v>59</v>
      </c>
      <c r="E379" t="s">
        <v>9</v>
      </c>
      <c r="F379" t="s">
        <v>19</v>
      </c>
      <c r="G379" t="s">
        <v>21</v>
      </c>
      <c r="H379">
        <v>170</v>
      </c>
      <c r="I379">
        <v>2019</v>
      </c>
      <c r="J379" t="s">
        <v>18</v>
      </c>
      <c r="K379">
        <v>100977.72</v>
      </c>
    </row>
    <row r="380" spans="1:11">
      <c r="A380">
        <v>379</v>
      </c>
      <c r="B380">
        <v>317</v>
      </c>
      <c r="C380" t="s">
        <v>41</v>
      </c>
      <c r="D380">
        <v>58</v>
      </c>
      <c r="E380" t="s">
        <v>16</v>
      </c>
      <c r="F380" t="s">
        <v>17</v>
      </c>
      <c r="G380" t="s">
        <v>13</v>
      </c>
      <c r="H380">
        <v>135</v>
      </c>
      <c r="I380">
        <v>2021</v>
      </c>
      <c r="J380" t="s">
        <v>12</v>
      </c>
      <c r="K380" s="1">
        <v>27866.3999999999</v>
      </c>
    </row>
    <row r="381" spans="1:11">
      <c r="A381">
        <v>380</v>
      </c>
      <c r="B381">
        <v>391</v>
      </c>
      <c r="C381" t="s">
        <v>41</v>
      </c>
      <c r="D381">
        <v>58</v>
      </c>
      <c r="E381" t="s">
        <v>16</v>
      </c>
      <c r="F381" t="s">
        <v>19</v>
      </c>
      <c r="G381" t="s">
        <v>13</v>
      </c>
      <c r="H381">
        <v>120</v>
      </c>
      <c r="I381">
        <v>2021</v>
      </c>
      <c r="J381" t="s">
        <v>12</v>
      </c>
      <c r="K381">
        <v>29400</v>
      </c>
    </row>
    <row r="382" spans="1:11">
      <c r="A382">
        <v>381</v>
      </c>
      <c r="B382">
        <v>333</v>
      </c>
      <c r="C382" t="s">
        <v>41</v>
      </c>
      <c r="D382">
        <v>58</v>
      </c>
      <c r="E382" t="s">
        <v>16</v>
      </c>
      <c r="F382" t="s">
        <v>15</v>
      </c>
      <c r="G382" t="s">
        <v>13</v>
      </c>
      <c r="H382">
        <v>145</v>
      </c>
      <c r="I382">
        <v>2021</v>
      </c>
      <c r="J382" t="s">
        <v>22</v>
      </c>
      <c r="K382" s="1">
        <v>30398.3999999999</v>
      </c>
    </row>
    <row r="383" spans="1:11">
      <c r="A383">
        <v>382</v>
      </c>
      <c r="B383">
        <v>315</v>
      </c>
      <c r="C383" t="s">
        <v>41</v>
      </c>
      <c r="D383">
        <v>58</v>
      </c>
      <c r="E383" t="s">
        <v>16</v>
      </c>
      <c r="F383" t="s">
        <v>19</v>
      </c>
      <c r="G383" t="s">
        <v>13</v>
      </c>
      <c r="H383">
        <v>140</v>
      </c>
      <c r="I383">
        <v>2021</v>
      </c>
      <c r="J383" t="s">
        <v>22</v>
      </c>
      <c r="K383">
        <v>35496</v>
      </c>
    </row>
    <row r="384" spans="1:11">
      <c r="A384">
        <v>383</v>
      </c>
      <c r="B384">
        <v>485</v>
      </c>
      <c r="C384" t="s">
        <v>41</v>
      </c>
      <c r="D384">
        <v>58</v>
      </c>
      <c r="E384" t="s">
        <v>16</v>
      </c>
      <c r="F384" t="s">
        <v>19</v>
      </c>
      <c r="G384" t="s">
        <v>13</v>
      </c>
      <c r="H384">
        <v>125</v>
      </c>
      <c r="I384">
        <v>2022</v>
      </c>
      <c r="J384" t="s">
        <v>22</v>
      </c>
      <c r="K384">
        <v>37522.5</v>
      </c>
    </row>
    <row r="385" spans="1:11">
      <c r="A385">
        <v>384</v>
      </c>
      <c r="B385">
        <v>98</v>
      </c>
      <c r="C385" t="s">
        <v>41</v>
      </c>
      <c r="D385">
        <v>58</v>
      </c>
      <c r="E385" t="s">
        <v>16</v>
      </c>
      <c r="F385" t="s">
        <v>10</v>
      </c>
      <c r="G385" t="s">
        <v>11</v>
      </c>
      <c r="H385">
        <v>95</v>
      </c>
      <c r="I385">
        <v>2018</v>
      </c>
      <c r="J385" t="s">
        <v>22</v>
      </c>
      <c r="K385" s="1">
        <v>37945.199999999997</v>
      </c>
    </row>
    <row r="386" spans="1:11">
      <c r="A386">
        <v>385</v>
      </c>
      <c r="B386">
        <v>338</v>
      </c>
      <c r="C386" t="s">
        <v>41</v>
      </c>
      <c r="D386">
        <v>58</v>
      </c>
      <c r="E386" t="s">
        <v>16</v>
      </c>
      <c r="F386" t="s">
        <v>17</v>
      </c>
      <c r="G386" t="s">
        <v>13</v>
      </c>
      <c r="H386">
        <v>135</v>
      </c>
      <c r="I386">
        <v>2021</v>
      </c>
      <c r="J386" t="s">
        <v>18</v>
      </c>
      <c r="K386" s="1">
        <v>43828.799999999901</v>
      </c>
    </row>
    <row r="387" spans="1:11">
      <c r="A387">
        <v>386</v>
      </c>
      <c r="B387">
        <v>63</v>
      </c>
      <c r="C387" t="s">
        <v>41</v>
      </c>
      <c r="D387">
        <v>57</v>
      </c>
      <c r="E387" t="s">
        <v>16</v>
      </c>
      <c r="F387" t="s">
        <v>17</v>
      </c>
      <c r="G387" t="s">
        <v>11</v>
      </c>
      <c r="H387">
        <v>150</v>
      </c>
      <c r="I387">
        <v>2018</v>
      </c>
      <c r="J387" t="s">
        <v>22</v>
      </c>
      <c r="K387">
        <v>23647.52</v>
      </c>
    </row>
    <row r="388" spans="1:11">
      <c r="A388">
        <v>387</v>
      </c>
      <c r="B388">
        <v>88</v>
      </c>
      <c r="C388" t="s">
        <v>41</v>
      </c>
      <c r="D388">
        <v>57</v>
      </c>
      <c r="E388" t="s">
        <v>16</v>
      </c>
      <c r="F388" t="s">
        <v>23</v>
      </c>
      <c r="G388" t="s">
        <v>13</v>
      </c>
      <c r="H388">
        <v>130</v>
      </c>
      <c r="I388">
        <v>2018</v>
      </c>
      <c r="J388" t="s">
        <v>14</v>
      </c>
      <c r="K388">
        <v>28656.66</v>
      </c>
    </row>
    <row r="389" spans="1:11">
      <c r="A389">
        <v>388</v>
      </c>
      <c r="B389">
        <v>194</v>
      </c>
      <c r="C389" t="s">
        <v>41</v>
      </c>
      <c r="D389">
        <v>57</v>
      </c>
      <c r="E389" t="s">
        <v>16</v>
      </c>
      <c r="F389" t="s">
        <v>19</v>
      </c>
      <c r="G389" t="s">
        <v>24</v>
      </c>
      <c r="H389">
        <v>195</v>
      </c>
      <c r="I389">
        <v>2019</v>
      </c>
      <c r="J389" t="s">
        <v>14</v>
      </c>
      <c r="K389">
        <v>36980.28</v>
      </c>
    </row>
    <row r="390" spans="1:11">
      <c r="A390">
        <v>389</v>
      </c>
      <c r="B390">
        <v>153</v>
      </c>
      <c r="C390" t="s">
        <v>41</v>
      </c>
      <c r="D390">
        <v>56</v>
      </c>
      <c r="E390" t="s">
        <v>16</v>
      </c>
      <c r="F390" t="s">
        <v>19</v>
      </c>
      <c r="G390" t="s">
        <v>11</v>
      </c>
      <c r="H390">
        <v>105</v>
      </c>
      <c r="I390">
        <v>2019</v>
      </c>
      <c r="J390" t="s">
        <v>22</v>
      </c>
      <c r="K390" s="1">
        <v>21612.959999999999</v>
      </c>
    </row>
    <row r="391" spans="1:11">
      <c r="A391">
        <v>390</v>
      </c>
      <c r="B391">
        <v>94</v>
      </c>
      <c r="C391" t="s">
        <v>41</v>
      </c>
      <c r="D391">
        <v>56</v>
      </c>
      <c r="E391" t="s">
        <v>16</v>
      </c>
      <c r="F391" t="s">
        <v>19</v>
      </c>
      <c r="G391" t="s">
        <v>13</v>
      </c>
      <c r="H391">
        <v>180</v>
      </c>
      <c r="I391">
        <v>2018</v>
      </c>
      <c r="J391" t="s">
        <v>12</v>
      </c>
      <c r="K391">
        <v>21810.25</v>
      </c>
    </row>
    <row r="392" spans="1:11">
      <c r="A392">
        <v>391</v>
      </c>
      <c r="B392">
        <v>45</v>
      </c>
      <c r="C392" t="s">
        <v>41</v>
      </c>
      <c r="D392">
        <v>56</v>
      </c>
      <c r="E392" t="s">
        <v>16</v>
      </c>
      <c r="F392" t="s">
        <v>19</v>
      </c>
      <c r="G392" t="s">
        <v>13</v>
      </c>
      <c r="H392">
        <v>190</v>
      </c>
      <c r="I392">
        <v>2018</v>
      </c>
      <c r="J392" t="s">
        <v>14</v>
      </c>
      <c r="K392">
        <v>22866</v>
      </c>
    </row>
    <row r="393" spans="1:11">
      <c r="A393">
        <v>392</v>
      </c>
      <c r="B393">
        <v>234</v>
      </c>
      <c r="C393" t="s">
        <v>41</v>
      </c>
      <c r="D393">
        <v>56</v>
      </c>
      <c r="E393" t="s">
        <v>16</v>
      </c>
      <c r="F393" t="s">
        <v>10</v>
      </c>
      <c r="G393" t="s">
        <v>13</v>
      </c>
      <c r="H393">
        <v>90</v>
      </c>
      <c r="I393">
        <v>2019</v>
      </c>
      <c r="J393" t="s">
        <v>22</v>
      </c>
      <c r="K393">
        <v>23569.7</v>
      </c>
    </row>
    <row r="394" spans="1:11">
      <c r="A394">
        <v>393</v>
      </c>
      <c r="B394">
        <v>214</v>
      </c>
      <c r="C394" t="s">
        <v>41</v>
      </c>
      <c r="D394">
        <v>56</v>
      </c>
      <c r="E394" t="s">
        <v>16</v>
      </c>
      <c r="F394" t="s">
        <v>23</v>
      </c>
      <c r="G394" t="s">
        <v>13</v>
      </c>
      <c r="H394">
        <v>115</v>
      </c>
      <c r="I394">
        <v>2019</v>
      </c>
      <c r="J394" t="s">
        <v>22</v>
      </c>
      <c r="K394">
        <v>23819.4</v>
      </c>
    </row>
    <row r="395" spans="1:11">
      <c r="A395">
        <v>394</v>
      </c>
      <c r="B395">
        <v>141</v>
      </c>
      <c r="C395" t="s">
        <v>41</v>
      </c>
      <c r="D395">
        <v>56</v>
      </c>
      <c r="E395" t="s">
        <v>16</v>
      </c>
      <c r="F395" t="s">
        <v>17</v>
      </c>
      <c r="G395" t="s">
        <v>11</v>
      </c>
      <c r="H395">
        <v>105</v>
      </c>
      <c r="I395">
        <v>2019</v>
      </c>
      <c r="J395" t="s">
        <v>18</v>
      </c>
      <c r="K395" s="1">
        <v>24252.799999999999</v>
      </c>
    </row>
    <row r="396" spans="1:11">
      <c r="A396">
        <v>395</v>
      </c>
      <c r="B396">
        <v>256</v>
      </c>
      <c r="C396" t="s">
        <v>41</v>
      </c>
      <c r="D396">
        <v>56</v>
      </c>
      <c r="E396" t="s">
        <v>16</v>
      </c>
      <c r="F396" t="s">
        <v>17</v>
      </c>
      <c r="G396" t="s">
        <v>11</v>
      </c>
      <c r="H396">
        <v>115</v>
      </c>
      <c r="I396">
        <v>2020</v>
      </c>
      <c r="J396" t="s">
        <v>12</v>
      </c>
      <c r="K396">
        <v>30325</v>
      </c>
    </row>
    <row r="397" spans="1:11">
      <c r="A397">
        <v>396</v>
      </c>
      <c r="B397">
        <v>132</v>
      </c>
      <c r="C397" t="s">
        <v>41</v>
      </c>
      <c r="D397">
        <v>56</v>
      </c>
      <c r="E397" t="s">
        <v>16</v>
      </c>
      <c r="F397" t="s">
        <v>19</v>
      </c>
      <c r="G397" t="s">
        <v>11</v>
      </c>
      <c r="H397">
        <v>115</v>
      </c>
      <c r="I397">
        <v>2019</v>
      </c>
      <c r="J397" t="s">
        <v>14</v>
      </c>
      <c r="K397">
        <v>31024.080000000002</v>
      </c>
    </row>
    <row r="398" spans="1:11">
      <c r="A398">
        <v>397</v>
      </c>
      <c r="B398">
        <v>414</v>
      </c>
      <c r="C398" t="s">
        <v>41</v>
      </c>
      <c r="D398">
        <v>56</v>
      </c>
      <c r="E398" t="s">
        <v>16</v>
      </c>
      <c r="F398" t="s">
        <v>17</v>
      </c>
      <c r="G398" t="s">
        <v>24</v>
      </c>
      <c r="H398">
        <v>150</v>
      </c>
      <c r="I398">
        <v>2022</v>
      </c>
      <c r="J398" t="s">
        <v>14</v>
      </c>
      <c r="K398">
        <v>33428.94</v>
      </c>
    </row>
    <row r="399" spans="1:11">
      <c r="A399">
        <v>398</v>
      </c>
      <c r="B399">
        <v>498</v>
      </c>
      <c r="C399" t="s">
        <v>41</v>
      </c>
      <c r="D399">
        <v>56</v>
      </c>
      <c r="E399" t="s">
        <v>16</v>
      </c>
      <c r="F399" t="s">
        <v>17</v>
      </c>
      <c r="G399" t="s">
        <v>24</v>
      </c>
      <c r="H399">
        <v>140</v>
      </c>
      <c r="I399">
        <v>2022</v>
      </c>
      <c r="J399" t="s">
        <v>14</v>
      </c>
      <c r="K399">
        <v>35860</v>
      </c>
    </row>
    <row r="400" spans="1:11">
      <c r="A400">
        <v>399</v>
      </c>
      <c r="B400">
        <v>128</v>
      </c>
      <c r="C400" t="s">
        <v>41</v>
      </c>
      <c r="D400">
        <v>56</v>
      </c>
      <c r="E400" t="s">
        <v>16</v>
      </c>
      <c r="F400" t="s">
        <v>15</v>
      </c>
      <c r="G400" t="s">
        <v>11</v>
      </c>
      <c r="H400">
        <v>115</v>
      </c>
      <c r="I400">
        <v>2019</v>
      </c>
      <c r="J400" t="s">
        <v>18</v>
      </c>
      <c r="K400" s="1">
        <v>36090.879999999997</v>
      </c>
    </row>
    <row r="401" spans="1:11">
      <c r="A401">
        <v>400</v>
      </c>
      <c r="B401">
        <v>191</v>
      </c>
      <c r="C401" t="s">
        <v>41</v>
      </c>
      <c r="D401">
        <v>56</v>
      </c>
      <c r="E401" t="s">
        <v>16</v>
      </c>
      <c r="F401" t="s">
        <v>17</v>
      </c>
      <c r="G401" t="s">
        <v>11</v>
      </c>
      <c r="H401">
        <v>110</v>
      </c>
      <c r="I401">
        <v>2019</v>
      </c>
      <c r="J401" t="s">
        <v>22</v>
      </c>
      <c r="K401">
        <v>37345.32</v>
      </c>
    </row>
    <row r="402" spans="1:11">
      <c r="A402">
        <v>401</v>
      </c>
      <c r="B402">
        <v>121</v>
      </c>
      <c r="C402" t="s">
        <v>41</v>
      </c>
      <c r="D402">
        <v>56</v>
      </c>
      <c r="E402" t="s">
        <v>16</v>
      </c>
      <c r="F402" t="s">
        <v>17</v>
      </c>
      <c r="G402" t="s">
        <v>11</v>
      </c>
      <c r="H402">
        <v>115</v>
      </c>
      <c r="I402">
        <v>2019</v>
      </c>
      <c r="J402" t="s">
        <v>18</v>
      </c>
      <c r="K402">
        <v>37370.300000000003</v>
      </c>
    </row>
    <row r="403" spans="1:11">
      <c r="A403">
        <v>402</v>
      </c>
      <c r="B403">
        <v>68</v>
      </c>
      <c r="C403" t="s">
        <v>41</v>
      </c>
      <c r="D403">
        <v>56</v>
      </c>
      <c r="E403" t="s">
        <v>16</v>
      </c>
      <c r="F403" t="s">
        <v>17</v>
      </c>
      <c r="G403" t="s">
        <v>13</v>
      </c>
      <c r="H403">
        <v>195</v>
      </c>
      <c r="I403">
        <v>2018</v>
      </c>
      <c r="J403" t="s">
        <v>18</v>
      </c>
      <c r="K403">
        <v>37968.32</v>
      </c>
    </row>
    <row r="404" spans="1:11">
      <c r="A404">
        <v>403</v>
      </c>
      <c r="B404">
        <v>353</v>
      </c>
      <c r="C404" t="s">
        <v>41</v>
      </c>
      <c r="D404">
        <v>56</v>
      </c>
      <c r="E404" t="s">
        <v>16</v>
      </c>
      <c r="F404" t="s">
        <v>19</v>
      </c>
      <c r="G404" t="s">
        <v>24</v>
      </c>
      <c r="H404">
        <v>140</v>
      </c>
      <c r="I404">
        <v>2021</v>
      </c>
      <c r="J404" t="s">
        <v>14</v>
      </c>
      <c r="K404" s="1">
        <v>38110.799999999901</v>
      </c>
    </row>
    <row r="405" spans="1:11">
      <c r="A405">
        <v>404</v>
      </c>
      <c r="B405">
        <v>267</v>
      </c>
      <c r="C405" t="s">
        <v>41</v>
      </c>
      <c r="D405">
        <v>56</v>
      </c>
      <c r="E405" t="s">
        <v>16</v>
      </c>
      <c r="F405" t="s">
        <v>19</v>
      </c>
      <c r="G405" t="s">
        <v>11</v>
      </c>
      <c r="H405">
        <v>110</v>
      </c>
      <c r="I405">
        <v>2020</v>
      </c>
      <c r="J405" t="s">
        <v>22</v>
      </c>
      <c r="K405">
        <v>38785</v>
      </c>
    </row>
    <row r="406" spans="1:11">
      <c r="A406">
        <v>405</v>
      </c>
      <c r="B406">
        <v>90</v>
      </c>
      <c r="C406" t="s">
        <v>41</v>
      </c>
      <c r="D406">
        <v>56</v>
      </c>
      <c r="E406" t="s">
        <v>16</v>
      </c>
      <c r="F406" t="s">
        <v>15</v>
      </c>
      <c r="G406" t="s">
        <v>13</v>
      </c>
      <c r="H406">
        <v>195</v>
      </c>
      <c r="I406">
        <v>2018</v>
      </c>
      <c r="J406" t="s">
        <v>14</v>
      </c>
      <c r="K406" s="1">
        <v>40276.089999999997</v>
      </c>
    </row>
    <row r="407" spans="1:11">
      <c r="A407">
        <v>406</v>
      </c>
      <c r="B407">
        <v>222</v>
      </c>
      <c r="C407" t="s">
        <v>41</v>
      </c>
      <c r="D407">
        <v>56</v>
      </c>
      <c r="E407" t="s">
        <v>16</v>
      </c>
      <c r="F407" t="s">
        <v>23</v>
      </c>
      <c r="G407" t="s">
        <v>13</v>
      </c>
      <c r="H407">
        <v>110</v>
      </c>
      <c r="I407">
        <v>2019</v>
      </c>
      <c r="J407" t="s">
        <v>18</v>
      </c>
      <c r="K407" s="1">
        <v>41977.06</v>
      </c>
    </row>
    <row r="408" spans="1:11">
      <c r="A408">
        <v>407</v>
      </c>
      <c r="B408">
        <v>378</v>
      </c>
      <c r="C408" t="s">
        <v>41</v>
      </c>
      <c r="D408">
        <v>56</v>
      </c>
      <c r="E408" t="s">
        <v>16</v>
      </c>
      <c r="F408" t="s">
        <v>15</v>
      </c>
      <c r="G408" t="s">
        <v>24</v>
      </c>
      <c r="H408">
        <v>135</v>
      </c>
      <c r="I408">
        <v>2021</v>
      </c>
      <c r="J408" t="s">
        <v>18</v>
      </c>
      <c r="K408">
        <v>42788.4</v>
      </c>
    </row>
    <row r="409" spans="1:11">
      <c r="A409">
        <v>408</v>
      </c>
      <c r="B409">
        <v>149</v>
      </c>
      <c r="C409" t="s">
        <v>41</v>
      </c>
      <c r="D409">
        <v>56</v>
      </c>
      <c r="E409" t="s">
        <v>9</v>
      </c>
      <c r="F409" t="s">
        <v>23</v>
      </c>
      <c r="G409" t="s">
        <v>21</v>
      </c>
      <c r="H409">
        <v>95</v>
      </c>
      <c r="I409">
        <v>2019</v>
      </c>
      <c r="J409" t="s">
        <v>14</v>
      </c>
      <c r="K409" s="1">
        <v>104741.64</v>
      </c>
    </row>
    <row r="410" spans="1:11">
      <c r="A410">
        <v>409</v>
      </c>
      <c r="B410">
        <v>159</v>
      </c>
      <c r="C410" t="s">
        <v>41</v>
      </c>
      <c r="D410">
        <v>55</v>
      </c>
      <c r="E410" t="s">
        <v>16</v>
      </c>
      <c r="F410" t="s">
        <v>17</v>
      </c>
      <c r="G410" t="s">
        <v>13</v>
      </c>
      <c r="H410">
        <v>140</v>
      </c>
      <c r="I410">
        <v>2019</v>
      </c>
      <c r="J410" t="s">
        <v>18</v>
      </c>
      <c r="K410" s="1">
        <v>25215.3</v>
      </c>
    </row>
    <row r="411" spans="1:11">
      <c r="A411">
        <v>410</v>
      </c>
      <c r="B411">
        <v>198</v>
      </c>
      <c r="C411" t="s">
        <v>41</v>
      </c>
      <c r="D411">
        <v>55</v>
      </c>
      <c r="E411" t="s">
        <v>16</v>
      </c>
      <c r="F411" t="s">
        <v>17</v>
      </c>
      <c r="G411" t="s">
        <v>13</v>
      </c>
      <c r="H411">
        <v>135</v>
      </c>
      <c r="I411">
        <v>2019</v>
      </c>
      <c r="J411" t="s">
        <v>22</v>
      </c>
      <c r="K411" s="1">
        <v>26142.48</v>
      </c>
    </row>
    <row r="412" spans="1:11">
      <c r="A412">
        <v>411</v>
      </c>
      <c r="B412">
        <v>203</v>
      </c>
      <c r="C412" t="s">
        <v>41</v>
      </c>
      <c r="D412">
        <v>55</v>
      </c>
      <c r="E412" t="s">
        <v>16</v>
      </c>
      <c r="F412" t="s">
        <v>19</v>
      </c>
      <c r="G412" t="s">
        <v>13</v>
      </c>
      <c r="H412">
        <v>140</v>
      </c>
      <c r="I412">
        <v>2019</v>
      </c>
      <c r="J412" t="s">
        <v>12</v>
      </c>
      <c r="K412">
        <v>35824.68</v>
      </c>
    </row>
    <row r="413" spans="1:11">
      <c r="A413">
        <v>412</v>
      </c>
      <c r="B413">
        <v>186</v>
      </c>
      <c r="C413" t="s">
        <v>41</v>
      </c>
      <c r="D413">
        <v>55</v>
      </c>
      <c r="E413" t="s">
        <v>16</v>
      </c>
      <c r="F413" t="s">
        <v>17</v>
      </c>
      <c r="G413" t="s">
        <v>13</v>
      </c>
      <c r="H413">
        <v>130</v>
      </c>
      <c r="I413">
        <v>2019</v>
      </c>
      <c r="J413" t="s">
        <v>22</v>
      </c>
      <c r="K413">
        <v>42161.04</v>
      </c>
    </row>
    <row r="414" spans="1:11">
      <c r="A414">
        <v>413</v>
      </c>
      <c r="B414">
        <v>273</v>
      </c>
      <c r="C414" t="s">
        <v>41</v>
      </c>
      <c r="D414">
        <v>55</v>
      </c>
      <c r="E414" t="s">
        <v>16</v>
      </c>
      <c r="F414" t="s">
        <v>15</v>
      </c>
      <c r="G414" t="s">
        <v>13</v>
      </c>
      <c r="H414">
        <v>140</v>
      </c>
      <c r="I414">
        <v>2020</v>
      </c>
      <c r="J414" t="s">
        <v>18</v>
      </c>
      <c r="K414">
        <v>43681.25</v>
      </c>
    </row>
    <row r="415" spans="1:11">
      <c r="A415">
        <v>414</v>
      </c>
      <c r="B415">
        <v>417</v>
      </c>
      <c r="C415" t="s">
        <v>41</v>
      </c>
      <c r="D415">
        <v>54</v>
      </c>
      <c r="E415" t="s">
        <v>16</v>
      </c>
      <c r="F415" t="s">
        <v>19</v>
      </c>
      <c r="G415" t="s">
        <v>13</v>
      </c>
      <c r="H415">
        <v>90</v>
      </c>
      <c r="I415">
        <v>2022</v>
      </c>
      <c r="J415" t="s">
        <v>14</v>
      </c>
      <c r="K415">
        <v>31079.64</v>
      </c>
    </row>
    <row r="416" spans="1:11">
      <c r="A416">
        <v>415</v>
      </c>
      <c r="B416">
        <v>95</v>
      </c>
      <c r="C416" t="s">
        <v>41</v>
      </c>
      <c r="D416">
        <v>54</v>
      </c>
      <c r="E416" t="s">
        <v>16</v>
      </c>
      <c r="F416" t="s">
        <v>17</v>
      </c>
      <c r="G416" t="s">
        <v>24</v>
      </c>
      <c r="H416">
        <v>175</v>
      </c>
      <c r="I416">
        <v>2018</v>
      </c>
      <c r="J416" t="s">
        <v>22</v>
      </c>
      <c r="K416" s="1">
        <v>31161.62</v>
      </c>
    </row>
    <row r="417" spans="1:11">
      <c r="A417">
        <v>416</v>
      </c>
      <c r="B417">
        <v>443</v>
      </c>
      <c r="C417" t="s">
        <v>41</v>
      </c>
      <c r="D417">
        <v>54</v>
      </c>
      <c r="E417" t="s">
        <v>16</v>
      </c>
      <c r="F417" t="s">
        <v>17</v>
      </c>
      <c r="G417" t="s">
        <v>13</v>
      </c>
      <c r="H417">
        <v>95</v>
      </c>
      <c r="I417">
        <v>2022</v>
      </c>
      <c r="J417" t="s">
        <v>22</v>
      </c>
      <c r="K417" s="1">
        <v>32262.8999999999</v>
      </c>
    </row>
    <row r="418" spans="1:11">
      <c r="A418">
        <v>417</v>
      </c>
      <c r="B418">
        <v>474</v>
      </c>
      <c r="C418" t="s">
        <v>41</v>
      </c>
      <c r="D418">
        <v>54</v>
      </c>
      <c r="E418" t="s">
        <v>16</v>
      </c>
      <c r="F418" t="s">
        <v>17</v>
      </c>
      <c r="G418" t="s">
        <v>13</v>
      </c>
      <c r="H418">
        <v>95</v>
      </c>
      <c r="I418">
        <v>2022</v>
      </c>
      <c r="J418" t="s">
        <v>18</v>
      </c>
      <c r="K418">
        <v>34130</v>
      </c>
    </row>
    <row r="419" spans="1:11">
      <c r="A419">
        <v>418</v>
      </c>
      <c r="B419">
        <v>432</v>
      </c>
      <c r="C419" t="s">
        <v>41</v>
      </c>
      <c r="D419">
        <v>54</v>
      </c>
      <c r="E419" t="s">
        <v>16</v>
      </c>
      <c r="F419" t="s">
        <v>15</v>
      </c>
      <c r="G419" t="s">
        <v>13</v>
      </c>
      <c r="H419">
        <v>110</v>
      </c>
      <c r="I419">
        <v>2022</v>
      </c>
      <c r="J419" t="s">
        <v>18</v>
      </c>
      <c r="K419">
        <v>41217.300000000003</v>
      </c>
    </row>
    <row r="420" spans="1:11">
      <c r="A420">
        <v>419</v>
      </c>
      <c r="B420">
        <v>92</v>
      </c>
      <c r="C420" t="s">
        <v>41</v>
      </c>
      <c r="D420">
        <v>53</v>
      </c>
      <c r="E420" t="s">
        <v>16</v>
      </c>
      <c r="F420" t="s">
        <v>10</v>
      </c>
      <c r="G420" t="s">
        <v>13</v>
      </c>
      <c r="H420">
        <v>105</v>
      </c>
      <c r="I420">
        <v>2018</v>
      </c>
      <c r="J420" t="s">
        <v>22</v>
      </c>
      <c r="K420" s="1">
        <v>26047.67</v>
      </c>
    </row>
    <row r="421" spans="1:11">
      <c r="A421">
        <v>420</v>
      </c>
      <c r="B421">
        <v>120</v>
      </c>
      <c r="C421" t="s">
        <v>41</v>
      </c>
      <c r="D421">
        <v>53</v>
      </c>
      <c r="E421" t="s">
        <v>16</v>
      </c>
      <c r="F421" t="s">
        <v>17</v>
      </c>
      <c r="G421" t="s">
        <v>11</v>
      </c>
      <c r="H421">
        <v>100</v>
      </c>
      <c r="I421">
        <v>2018</v>
      </c>
      <c r="J421" t="s">
        <v>12</v>
      </c>
      <c r="K421">
        <v>37476.6</v>
      </c>
    </row>
    <row r="422" spans="1:11">
      <c r="A422">
        <v>421</v>
      </c>
      <c r="B422">
        <v>240</v>
      </c>
      <c r="C422" t="s">
        <v>41</v>
      </c>
      <c r="D422">
        <v>51</v>
      </c>
      <c r="E422" t="s">
        <v>16</v>
      </c>
      <c r="F422" t="s">
        <v>19</v>
      </c>
      <c r="G422" t="s">
        <v>13</v>
      </c>
      <c r="H422">
        <v>110</v>
      </c>
      <c r="I422">
        <v>2019</v>
      </c>
      <c r="J422" t="s">
        <v>14</v>
      </c>
      <c r="K422">
        <v>35835.42</v>
      </c>
    </row>
    <row r="423" spans="1:11">
      <c r="A423">
        <v>422</v>
      </c>
      <c r="B423">
        <v>103</v>
      </c>
      <c r="C423" t="s">
        <v>41</v>
      </c>
      <c r="D423">
        <v>48</v>
      </c>
      <c r="E423" t="s">
        <v>16</v>
      </c>
      <c r="F423" t="s">
        <v>19</v>
      </c>
      <c r="G423" t="s">
        <v>13</v>
      </c>
      <c r="H423">
        <v>95</v>
      </c>
      <c r="I423">
        <v>2018</v>
      </c>
      <c r="J423" t="s">
        <v>14</v>
      </c>
      <c r="K423">
        <v>27925.360000000001</v>
      </c>
    </row>
    <row r="424" spans="1:11">
      <c r="A424">
        <v>423</v>
      </c>
      <c r="B424">
        <v>89</v>
      </c>
      <c r="C424" t="s">
        <v>41</v>
      </c>
      <c r="D424">
        <v>48</v>
      </c>
      <c r="E424" t="s">
        <v>16</v>
      </c>
      <c r="F424" t="s">
        <v>19</v>
      </c>
      <c r="G424" t="s">
        <v>13</v>
      </c>
      <c r="H424">
        <v>95</v>
      </c>
      <c r="I424">
        <v>2018</v>
      </c>
      <c r="J424" t="s">
        <v>12</v>
      </c>
      <c r="K424">
        <v>38249.4</v>
      </c>
    </row>
    <row r="425" spans="1:11">
      <c r="A425">
        <v>424</v>
      </c>
      <c r="B425">
        <v>484</v>
      </c>
      <c r="C425" t="s">
        <v>41</v>
      </c>
      <c r="D425">
        <v>39</v>
      </c>
      <c r="E425" t="s">
        <v>16</v>
      </c>
      <c r="F425" t="s">
        <v>19</v>
      </c>
      <c r="G425" t="s">
        <v>29</v>
      </c>
      <c r="H425">
        <v>100</v>
      </c>
      <c r="I425">
        <v>2022</v>
      </c>
      <c r="J425" t="s">
        <v>14</v>
      </c>
      <c r="K425">
        <v>112375</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1CAB3-1A32-114D-A6AD-B5E277A4D7A8}">
  <dimension ref="A1:I501"/>
  <sheetViews>
    <sheetView workbookViewId="0">
      <selection activeCell="L9" sqref="L9"/>
    </sheetView>
  </sheetViews>
  <sheetFormatPr baseColWidth="10" defaultRowHeight="16"/>
  <cols>
    <col min="1" max="1" width="13.6640625" customWidth="1"/>
    <col min="2" max="2" width="18.33203125" customWidth="1"/>
    <col min="5" max="5" width="33" customWidth="1"/>
    <col min="6" max="6" width="23.83203125" customWidth="1"/>
    <col min="7" max="7" width="20" customWidth="1"/>
    <col min="8" max="8" width="16" customWidth="1"/>
    <col min="9" max="9" width="18.83203125" customWidth="1"/>
  </cols>
  <sheetData>
    <row r="1" spans="1:9">
      <c r="A1" t="s">
        <v>0</v>
      </c>
      <c r="B1" t="s">
        <v>1</v>
      </c>
      <c r="C1" t="s">
        <v>2</v>
      </c>
      <c r="D1" t="s">
        <v>7</v>
      </c>
      <c r="E1" t="s">
        <v>42</v>
      </c>
      <c r="F1" t="s">
        <v>43</v>
      </c>
      <c r="G1" t="s">
        <v>44</v>
      </c>
      <c r="H1" t="s">
        <v>45</v>
      </c>
      <c r="I1" t="s">
        <v>46</v>
      </c>
    </row>
    <row r="2" spans="1:9">
      <c r="A2">
        <v>5</v>
      </c>
      <c r="B2" t="s">
        <v>16</v>
      </c>
      <c r="C2" t="s">
        <v>19</v>
      </c>
      <c r="D2">
        <v>20330</v>
      </c>
      <c r="E2">
        <v>950</v>
      </c>
      <c r="F2">
        <v>175</v>
      </c>
      <c r="G2">
        <v>9300</v>
      </c>
      <c r="H2" s="1">
        <v>2.1860215053763401</v>
      </c>
      <c r="I2" t="s">
        <v>49</v>
      </c>
    </row>
    <row r="3" spans="1:9">
      <c r="A3">
        <v>153</v>
      </c>
      <c r="B3" t="s">
        <v>16</v>
      </c>
      <c r="C3" t="s">
        <v>19</v>
      </c>
      <c r="D3" s="1">
        <v>21612.959999999999</v>
      </c>
      <c r="E3">
        <v>975</v>
      </c>
      <c r="F3">
        <v>325</v>
      </c>
      <c r="G3">
        <v>7800</v>
      </c>
      <c r="H3" s="1">
        <v>2.7708923076923</v>
      </c>
      <c r="I3" t="s">
        <v>49</v>
      </c>
    </row>
    <row r="4" spans="1:9">
      <c r="A4">
        <v>94</v>
      </c>
      <c r="B4" t="s">
        <v>16</v>
      </c>
      <c r="C4" t="s">
        <v>19</v>
      </c>
      <c r="D4">
        <v>21810.25</v>
      </c>
      <c r="E4">
        <v>875</v>
      </c>
      <c r="F4">
        <v>350</v>
      </c>
      <c r="G4">
        <v>6300</v>
      </c>
      <c r="H4" s="1">
        <v>3.4619444444444398</v>
      </c>
      <c r="I4" t="s">
        <v>49</v>
      </c>
    </row>
    <row r="5" spans="1:9">
      <c r="A5">
        <v>61</v>
      </c>
      <c r="B5" t="s">
        <v>16</v>
      </c>
      <c r="C5" t="s">
        <v>10</v>
      </c>
      <c r="D5">
        <v>21848.400000000001</v>
      </c>
      <c r="E5">
        <v>825</v>
      </c>
      <c r="F5">
        <v>375</v>
      </c>
      <c r="G5">
        <v>5400</v>
      </c>
      <c r="H5">
        <v>4.0460000000000003</v>
      </c>
      <c r="I5" t="s">
        <v>49</v>
      </c>
    </row>
    <row r="6" spans="1:9">
      <c r="A6">
        <v>206</v>
      </c>
      <c r="B6" t="s">
        <v>16</v>
      </c>
      <c r="C6" t="s">
        <v>17</v>
      </c>
      <c r="D6">
        <v>21913.38</v>
      </c>
      <c r="E6">
        <v>950</v>
      </c>
      <c r="F6">
        <v>350</v>
      </c>
      <c r="G6">
        <v>7200</v>
      </c>
      <c r="H6" s="1">
        <v>3.0435249999999998</v>
      </c>
      <c r="I6" t="s">
        <v>49</v>
      </c>
    </row>
    <row r="7" spans="1:9">
      <c r="A7">
        <v>223</v>
      </c>
      <c r="B7" t="s">
        <v>16</v>
      </c>
      <c r="C7" t="s">
        <v>10</v>
      </c>
      <c r="D7" s="1">
        <v>22600.6</v>
      </c>
      <c r="E7">
        <v>950</v>
      </c>
      <c r="F7">
        <v>225</v>
      </c>
      <c r="G7">
        <v>8700</v>
      </c>
      <c r="H7" s="1">
        <v>2.5977701149425201</v>
      </c>
      <c r="I7" t="s">
        <v>49</v>
      </c>
    </row>
    <row r="8" spans="1:9">
      <c r="A8">
        <v>81</v>
      </c>
      <c r="B8" t="s">
        <v>16</v>
      </c>
      <c r="C8" t="s">
        <v>17</v>
      </c>
      <c r="D8" s="1">
        <v>22632.19</v>
      </c>
      <c r="E8">
        <v>950</v>
      </c>
      <c r="F8">
        <v>300</v>
      </c>
      <c r="G8">
        <v>7800</v>
      </c>
      <c r="H8" s="1">
        <v>2.9015628205128201</v>
      </c>
      <c r="I8" t="s">
        <v>49</v>
      </c>
    </row>
    <row r="9" spans="1:9">
      <c r="A9">
        <v>45</v>
      </c>
      <c r="B9" t="s">
        <v>16</v>
      </c>
      <c r="C9" t="s">
        <v>19</v>
      </c>
      <c r="D9">
        <v>22866</v>
      </c>
      <c r="E9">
        <v>950</v>
      </c>
      <c r="F9">
        <v>275</v>
      </c>
      <c r="G9">
        <v>8100</v>
      </c>
      <c r="H9" s="1">
        <v>2.82296296296296</v>
      </c>
      <c r="I9" t="s">
        <v>49</v>
      </c>
    </row>
    <row r="10" spans="1:9">
      <c r="A10">
        <v>42</v>
      </c>
      <c r="B10" t="s">
        <v>16</v>
      </c>
      <c r="C10" t="s">
        <v>17</v>
      </c>
      <c r="D10">
        <v>23124.400000000001</v>
      </c>
      <c r="E10">
        <v>950</v>
      </c>
      <c r="F10">
        <v>300</v>
      </c>
      <c r="G10">
        <v>7800</v>
      </c>
      <c r="H10" s="1">
        <v>2.9646666666666599</v>
      </c>
      <c r="I10" t="s">
        <v>49</v>
      </c>
    </row>
    <row r="11" spans="1:9">
      <c r="A11">
        <v>46</v>
      </c>
      <c r="B11" t="s">
        <v>16</v>
      </c>
      <c r="C11" t="s">
        <v>17</v>
      </c>
      <c r="D11">
        <v>23549.4</v>
      </c>
      <c r="E11">
        <v>950</v>
      </c>
      <c r="F11">
        <v>275</v>
      </c>
      <c r="G11">
        <v>8100</v>
      </c>
      <c r="H11" s="1">
        <v>2.9073333333333302</v>
      </c>
      <c r="I11" t="s">
        <v>49</v>
      </c>
    </row>
    <row r="12" spans="1:9">
      <c r="A12">
        <v>234</v>
      </c>
      <c r="B12" t="s">
        <v>16</v>
      </c>
      <c r="C12" t="s">
        <v>10</v>
      </c>
      <c r="D12">
        <v>23569.7</v>
      </c>
      <c r="E12">
        <v>975</v>
      </c>
      <c r="F12">
        <v>225</v>
      </c>
      <c r="G12">
        <v>9000</v>
      </c>
      <c r="H12" s="1">
        <v>2.6188555555555499</v>
      </c>
      <c r="I12" t="s">
        <v>49</v>
      </c>
    </row>
    <row r="13" spans="1:9">
      <c r="A13">
        <v>63</v>
      </c>
      <c r="B13" t="s">
        <v>16</v>
      </c>
      <c r="C13" t="s">
        <v>17</v>
      </c>
      <c r="D13">
        <v>23647.52</v>
      </c>
      <c r="E13">
        <v>975</v>
      </c>
      <c r="F13">
        <v>350</v>
      </c>
      <c r="G13">
        <v>7500</v>
      </c>
      <c r="H13" s="1">
        <v>3.15300266666666</v>
      </c>
      <c r="I13" t="s">
        <v>49</v>
      </c>
    </row>
    <row r="14" spans="1:9">
      <c r="A14">
        <v>214</v>
      </c>
      <c r="B14" t="s">
        <v>16</v>
      </c>
      <c r="C14" t="s">
        <v>23</v>
      </c>
      <c r="D14">
        <v>23819.4</v>
      </c>
      <c r="E14">
        <v>975</v>
      </c>
      <c r="F14">
        <v>350</v>
      </c>
      <c r="G14">
        <v>7500</v>
      </c>
      <c r="H14">
        <v>3.1759200000000001</v>
      </c>
      <c r="I14" t="s">
        <v>49</v>
      </c>
    </row>
    <row r="15" spans="1:9">
      <c r="A15">
        <v>278</v>
      </c>
      <c r="B15" t="s">
        <v>16</v>
      </c>
      <c r="C15" t="s">
        <v>15</v>
      </c>
      <c r="D15">
        <v>23819.48</v>
      </c>
      <c r="E15">
        <v>825</v>
      </c>
      <c r="F15">
        <v>325</v>
      </c>
      <c r="G15">
        <v>6000</v>
      </c>
      <c r="H15" s="1">
        <v>3.9699133333333299</v>
      </c>
      <c r="I15" t="s">
        <v>49</v>
      </c>
    </row>
    <row r="16" spans="1:9">
      <c r="A16">
        <v>16</v>
      </c>
      <c r="B16" t="s">
        <v>16</v>
      </c>
      <c r="C16" t="s">
        <v>17</v>
      </c>
      <c r="D16">
        <v>23964</v>
      </c>
      <c r="E16">
        <v>950</v>
      </c>
      <c r="F16">
        <v>325</v>
      </c>
      <c r="G16">
        <v>7500</v>
      </c>
      <c r="H16">
        <v>3.1951999999999998</v>
      </c>
      <c r="I16" t="s">
        <v>49</v>
      </c>
    </row>
    <row r="17" spans="1:9">
      <c r="A17">
        <v>34</v>
      </c>
      <c r="B17" t="s">
        <v>16</v>
      </c>
      <c r="C17" t="s">
        <v>23</v>
      </c>
      <c r="D17">
        <v>24112</v>
      </c>
      <c r="E17">
        <v>975</v>
      </c>
      <c r="F17">
        <v>300</v>
      </c>
      <c r="G17">
        <v>8100</v>
      </c>
      <c r="H17">
        <v>2.9767901234567899</v>
      </c>
      <c r="I17" t="s">
        <v>49</v>
      </c>
    </row>
    <row r="18" spans="1:9">
      <c r="A18">
        <v>141</v>
      </c>
      <c r="B18" t="s">
        <v>16</v>
      </c>
      <c r="C18" t="s">
        <v>17</v>
      </c>
      <c r="D18" s="1">
        <v>24252.799999999999</v>
      </c>
      <c r="E18">
        <v>825</v>
      </c>
      <c r="F18">
        <v>325</v>
      </c>
      <c r="G18">
        <v>6000</v>
      </c>
      <c r="H18" s="1">
        <v>4.0421333333333296</v>
      </c>
      <c r="I18" t="s">
        <v>49</v>
      </c>
    </row>
    <row r="19" spans="1:9">
      <c r="A19">
        <v>163</v>
      </c>
      <c r="B19" t="s">
        <v>16</v>
      </c>
      <c r="C19" t="s">
        <v>23</v>
      </c>
      <c r="D19">
        <v>24388.48</v>
      </c>
      <c r="E19">
        <v>825</v>
      </c>
      <c r="F19">
        <v>150</v>
      </c>
      <c r="G19">
        <v>8100</v>
      </c>
      <c r="H19" s="1">
        <v>3.01092345679012</v>
      </c>
      <c r="I19" t="s">
        <v>49</v>
      </c>
    </row>
    <row r="20" spans="1:9">
      <c r="A20">
        <v>25</v>
      </c>
      <c r="B20" t="s">
        <v>16</v>
      </c>
      <c r="C20" t="s">
        <v>23</v>
      </c>
      <c r="D20">
        <v>24532</v>
      </c>
      <c r="E20">
        <v>875</v>
      </c>
      <c r="F20">
        <v>200</v>
      </c>
      <c r="G20">
        <v>8100</v>
      </c>
      <c r="H20" s="1">
        <v>3.02864197530864</v>
      </c>
      <c r="I20" t="s">
        <v>49</v>
      </c>
    </row>
    <row r="21" spans="1:9">
      <c r="A21">
        <v>83</v>
      </c>
      <c r="B21" t="s">
        <v>16</v>
      </c>
      <c r="C21" t="s">
        <v>23</v>
      </c>
      <c r="D21">
        <v>24696.31</v>
      </c>
      <c r="E21">
        <v>825</v>
      </c>
      <c r="F21">
        <v>225</v>
      </c>
      <c r="G21">
        <v>7200</v>
      </c>
      <c r="H21" s="1">
        <v>3.4300430555555499</v>
      </c>
      <c r="I21" t="s">
        <v>49</v>
      </c>
    </row>
    <row r="22" spans="1:9">
      <c r="A22">
        <v>404</v>
      </c>
      <c r="B22" t="s">
        <v>16</v>
      </c>
      <c r="C22" t="s">
        <v>19</v>
      </c>
      <c r="D22">
        <v>24715.200000000001</v>
      </c>
      <c r="E22">
        <v>975</v>
      </c>
      <c r="F22">
        <v>350</v>
      </c>
      <c r="G22">
        <v>7500</v>
      </c>
      <c r="H22">
        <v>3.2953600000000001</v>
      </c>
      <c r="I22" t="s">
        <v>49</v>
      </c>
    </row>
    <row r="23" spans="1:9">
      <c r="A23">
        <v>32</v>
      </c>
      <c r="B23" t="s">
        <v>16</v>
      </c>
      <c r="C23" t="s">
        <v>15</v>
      </c>
      <c r="D23">
        <v>24868</v>
      </c>
      <c r="E23">
        <v>950</v>
      </c>
      <c r="F23">
        <v>325</v>
      </c>
      <c r="G23">
        <v>7500</v>
      </c>
      <c r="H23" s="1">
        <v>3.3157333333333301</v>
      </c>
      <c r="I23" t="s">
        <v>49</v>
      </c>
    </row>
    <row r="24" spans="1:9">
      <c r="A24">
        <v>213</v>
      </c>
      <c r="B24" t="s">
        <v>16</v>
      </c>
      <c r="C24" t="s">
        <v>19</v>
      </c>
      <c r="D24">
        <v>25100.9</v>
      </c>
      <c r="E24">
        <v>975</v>
      </c>
      <c r="F24">
        <v>275</v>
      </c>
      <c r="G24">
        <v>8400</v>
      </c>
      <c r="H24" s="1">
        <v>2.9882023809523801</v>
      </c>
      <c r="I24" t="s">
        <v>49</v>
      </c>
    </row>
    <row r="25" spans="1:9">
      <c r="A25">
        <v>159</v>
      </c>
      <c r="B25" t="s">
        <v>16</v>
      </c>
      <c r="C25" t="s">
        <v>17</v>
      </c>
      <c r="D25" s="1">
        <v>25215.3</v>
      </c>
      <c r="E25">
        <v>825</v>
      </c>
      <c r="F25">
        <v>150</v>
      </c>
      <c r="G25">
        <v>8100</v>
      </c>
      <c r="H25" s="1">
        <v>3.113</v>
      </c>
      <c r="I25" t="s">
        <v>49</v>
      </c>
    </row>
    <row r="26" spans="1:9">
      <c r="A26">
        <v>399</v>
      </c>
      <c r="B26" t="s">
        <v>16</v>
      </c>
      <c r="C26" t="s">
        <v>23</v>
      </c>
      <c r="D26" s="1">
        <v>25496.3999999999</v>
      </c>
      <c r="E26">
        <v>950</v>
      </c>
      <c r="F26">
        <v>200</v>
      </c>
      <c r="G26">
        <v>9000</v>
      </c>
      <c r="H26" s="1">
        <v>2.83293333333333</v>
      </c>
      <c r="I26" t="s">
        <v>49</v>
      </c>
    </row>
    <row r="27" spans="1:9">
      <c r="A27">
        <v>6</v>
      </c>
      <c r="B27" t="s">
        <v>16</v>
      </c>
      <c r="C27" t="s">
        <v>10</v>
      </c>
      <c r="D27">
        <v>25682</v>
      </c>
      <c r="E27">
        <v>875</v>
      </c>
      <c r="G27">
        <v>10500</v>
      </c>
      <c r="H27" s="1">
        <v>2.4459047619047598</v>
      </c>
      <c r="I27" t="s">
        <v>49</v>
      </c>
    </row>
    <row r="28" spans="1:9">
      <c r="A28">
        <v>357</v>
      </c>
      <c r="B28" t="s">
        <v>16</v>
      </c>
      <c r="C28" t="s">
        <v>10</v>
      </c>
      <c r="D28">
        <v>25762.799999999999</v>
      </c>
      <c r="E28">
        <v>950</v>
      </c>
      <c r="F28">
        <v>250</v>
      </c>
      <c r="G28">
        <v>8400</v>
      </c>
      <c r="H28" s="1">
        <v>3.06699999999999</v>
      </c>
      <c r="I28" t="s">
        <v>49</v>
      </c>
    </row>
    <row r="29" spans="1:9">
      <c r="A29">
        <v>288</v>
      </c>
      <c r="B29" t="s">
        <v>16</v>
      </c>
      <c r="C29" t="s">
        <v>17</v>
      </c>
      <c r="D29">
        <v>25816.799999999999</v>
      </c>
      <c r="E29">
        <v>950</v>
      </c>
      <c r="F29">
        <v>325</v>
      </c>
      <c r="G29">
        <v>7500</v>
      </c>
      <c r="H29">
        <v>3.44224</v>
      </c>
      <c r="I29" t="s">
        <v>49</v>
      </c>
    </row>
    <row r="30" spans="1:9">
      <c r="A30">
        <v>60</v>
      </c>
      <c r="B30" t="s">
        <v>16</v>
      </c>
      <c r="C30" t="s">
        <v>17</v>
      </c>
      <c r="D30" s="1">
        <v>26023.919999999998</v>
      </c>
      <c r="E30">
        <v>975</v>
      </c>
      <c r="F30">
        <v>200</v>
      </c>
      <c r="G30">
        <v>9300</v>
      </c>
      <c r="H30" s="1">
        <v>2.7982709677419302</v>
      </c>
      <c r="I30" t="s">
        <v>49</v>
      </c>
    </row>
    <row r="31" spans="1:9">
      <c r="A31">
        <v>401</v>
      </c>
      <c r="B31" t="s">
        <v>16</v>
      </c>
      <c r="C31" t="s">
        <v>19</v>
      </c>
      <c r="D31" s="1">
        <v>26030.3999999999</v>
      </c>
      <c r="E31">
        <v>825</v>
      </c>
      <c r="F31">
        <v>350</v>
      </c>
      <c r="G31">
        <v>5700</v>
      </c>
      <c r="H31" s="1">
        <v>4.5667368421052599</v>
      </c>
      <c r="I31" t="s">
        <v>49</v>
      </c>
    </row>
    <row r="32" spans="1:9">
      <c r="A32">
        <v>92</v>
      </c>
      <c r="B32" t="s">
        <v>16</v>
      </c>
      <c r="C32" t="s">
        <v>10</v>
      </c>
      <c r="D32" s="1">
        <v>26047.67</v>
      </c>
      <c r="E32">
        <v>975</v>
      </c>
      <c r="F32">
        <v>325</v>
      </c>
      <c r="G32">
        <v>7800</v>
      </c>
      <c r="H32" s="1">
        <v>3.3394448717948699</v>
      </c>
      <c r="I32" t="s">
        <v>49</v>
      </c>
    </row>
    <row r="33" spans="1:9">
      <c r="A33">
        <v>465</v>
      </c>
      <c r="B33" t="s">
        <v>16</v>
      </c>
      <c r="C33" t="s">
        <v>19</v>
      </c>
      <c r="D33">
        <v>26068.75</v>
      </c>
      <c r="E33">
        <v>950</v>
      </c>
      <c r="F33">
        <v>250</v>
      </c>
      <c r="G33">
        <v>8400</v>
      </c>
      <c r="H33" s="1">
        <v>3.1034226190476102</v>
      </c>
      <c r="I33" t="s">
        <v>49</v>
      </c>
    </row>
    <row r="34" spans="1:9">
      <c r="A34">
        <v>150</v>
      </c>
      <c r="B34" t="s">
        <v>16</v>
      </c>
      <c r="C34" t="s">
        <v>17</v>
      </c>
      <c r="D34">
        <v>26139.24</v>
      </c>
      <c r="E34">
        <v>950</v>
      </c>
      <c r="F34">
        <v>350</v>
      </c>
      <c r="G34">
        <v>7200</v>
      </c>
      <c r="H34">
        <v>3.6304500000000002</v>
      </c>
      <c r="I34" t="s">
        <v>49</v>
      </c>
    </row>
    <row r="35" spans="1:9">
      <c r="A35">
        <v>198</v>
      </c>
      <c r="B35" t="s">
        <v>16</v>
      </c>
      <c r="C35" t="s">
        <v>17</v>
      </c>
      <c r="D35" s="1">
        <v>26142.48</v>
      </c>
      <c r="E35">
        <v>975</v>
      </c>
      <c r="F35">
        <v>175</v>
      </c>
      <c r="G35">
        <v>9600</v>
      </c>
      <c r="H35" s="1">
        <v>2.7231749999999999</v>
      </c>
      <c r="I35" t="s">
        <v>49</v>
      </c>
    </row>
    <row r="36" spans="1:9">
      <c r="A36">
        <v>208</v>
      </c>
      <c r="B36" t="s">
        <v>16</v>
      </c>
      <c r="C36" t="s">
        <v>23</v>
      </c>
      <c r="D36">
        <v>26345.52</v>
      </c>
      <c r="E36">
        <v>825</v>
      </c>
      <c r="F36">
        <v>175</v>
      </c>
      <c r="G36">
        <v>7800</v>
      </c>
      <c r="H36" s="1">
        <v>3.3776307692307599</v>
      </c>
      <c r="I36" t="s">
        <v>49</v>
      </c>
    </row>
    <row r="37" spans="1:9">
      <c r="A37">
        <v>87</v>
      </c>
      <c r="B37" t="s">
        <v>16</v>
      </c>
      <c r="C37" t="s">
        <v>10</v>
      </c>
      <c r="D37" s="1">
        <v>26408.17</v>
      </c>
      <c r="E37">
        <v>975</v>
      </c>
      <c r="F37">
        <v>350</v>
      </c>
      <c r="G37">
        <v>7500</v>
      </c>
      <c r="H37" s="1">
        <v>3.5210893333333302</v>
      </c>
      <c r="I37" t="s">
        <v>49</v>
      </c>
    </row>
    <row r="38" spans="1:9">
      <c r="A38">
        <v>118</v>
      </c>
      <c r="B38" t="s">
        <v>16</v>
      </c>
      <c r="C38" t="s">
        <v>17</v>
      </c>
      <c r="D38" s="1">
        <v>26424.3</v>
      </c>
      <c r="E38">
        <v>950</v>
      </c>
      <c r="F38">
        <v>325</v>
      </c>
      <c r="G38">
        <v>7500</v>
      </c>
      <c r="H38" s="1">
        <v>3.5232399999999999</v>
      </c>
      <c r="I38" t="s">
        <v>49</v>
      </c>
    </row>
    <row r="39" spans="1:9">
      <c r="A39">
        <v>311</v>
      </c>
      <c r="B39" t="s">
        <v>16</v>
      </c>
      <c r="C39" t="s">
        <v>23</v>
      </c>
      <c r="D39">
        <v>26619.599999999999</v>
      </c>
      <c r="E39">
        <v>875</v>
      </c>
      <c r="F39">
        <v>375</v>
      </c>
      <c r="G39">
        <v>6000</v>
      </c>
      <c r="H39" s="1">
        <v>4.4365999999999897</v>
      </c>
      <c r="I39" t="s">
        <v>49</v>
      </c>
    </row>
    <row r="40" spans="1:9">
      <c r="A40">
        <v>308</v>
      </c>
      <c r="B40" t="s">
        <v>16</v>
      </c>
      <c r="C40" t="s">
        <v>10</v>
      </c>
      <c r="D40" s="1">
        <v>26750.3999999999</v>
      </c>
      <c r="E40">
        <v>875</v>
      </c>
      <c r="F40">
        <v>175</v>
      </c>
      <c r="G40">
        <v>8400</v>
      </c>
      <c r="H40" s="1">
        <v>3.1845714285714202</v>
      </c>
      <c r="I40" t="s">
        <v>49</v>
      </c>
    </row>
    <row r="41" spans="1:9">
      <c r="A41">
        <v>56</v>
      </c>
      <c r="B41" t="s">
        <v>16</v>
      </c>
      <c r="C41" t="s">
        <v>23</v>
      </c>
      <c r="D41" s="1">
        <v>26795.599999999999</v>
      </c>
      <c r="E41">
        <v>825</v>
      </c>
      <c r="F41">
        <v>275</v>
      </c>
      <c r="G41">
        <v>6600</v>
      </c>
      <c r="H41" s="1">
        <v>4.0599393939393904</v>
      </c>
      <c r="I41" t="s">
        <v>49</v>
      </c>
    </row>
    <row r="42" spans="1:9">
      <c r="A42">
        <v>13</v>
      </c>
      <c r="B42" t="s">
        <v>16</v>
      </c>
      <c r="C42" t="s">
        <v>19</v>
      </c>
      <c r="D42">
        <v>27072</v>
      </c>
      <c r="E42">
        <v>950</v>
      </c>
      <c r="F42">
        <v>225</v>
      </c>
      <c r="G42">
        <v>8700</v>
      </c>
      <c r="H42" s="1">
        <v>3.1117241379310299</v>
      </c>
      <c r="I42" t="s">
        <v>49</v>
      </c>
    </row>
    <row r="43" spans="1:9">
      <c r="A43">
        <v>497</v>
      </c>
      <c r="B43" t="s">
        <v>16</v>
      </c>
      <c r="C43" t="s">
        <v>17</v>
      </c>
      <c r="D43">
        <v>27095</v>
      </c>
      <c r="E43">
        <v>875</v>
      </c>
      <c r="F43">
        <v>325</v>
      </c>
      <c r="G43">
        <v>6600</v>
      </c>
      <c r="H43" s="1">
        <v>4.1053030303030296</v>
      </c>
      <c r="I43" t="s">
        <v>49</v>
      </c>
    </row>
    <row r="44" spans="1:9">
      <c r="A44">
        <v>146</v>
      </c>
      <c r="B44" t="s">
        <v>16</v>
      </c>
      <c r="C44" t="s">
        <v>19</v>
      </c>
      <c r="D44">
        <v>27133.88</v>
      </c>
      <c r="E44">
        <v>950</v>
      </c>
      <c r="F44">
        <v>250</v>
      </c>
      <c r="G44">
        <v>8400</v>
      </c>
      <c r="H44">
        <v>3.2302238095238098</v>
      </c>
      <c r="I44" t="s">
        <v>49</v>
      </c>
    </row>
    <row r="45" spans="1:9">
      <c r="A45">
        <v>431</v>
      </c>
      <c r="B45" t="s">
        <v>16</v>
      </c>
      <c r="C45" t="s">
        <v>19</v>
      </c>
      <c r="D45">
        <v>27138.720000000001</v>
      </c>
      <c r="E45">
        <v>875</v>
      </c>
      <c r="F45">
        <v>300</v>
      </c>
      <c r="G45">
        <v>6900</v>
      </c>
      <c r="H45" s="1">
        <v>3.9331478260869499</v>
      </c>
      <c r="I45" t="s">
        <v>49</v>
      </c>
    </row>
    <row r="46" spans="1:9">
      <c r="A46">
        <v>342</v>
      </c>
      <c r="B46" t="s">
        <v>16</v>
      </c>
      <c r="C46" t="s">
        <v>17</v>
      </c>
      <c r="D46">
        <v>27154.799999999999</v>
      </c>
      <c r="E46">
        <v>975</v>
      </c>
      <c r="F46">
        <v>175</v>
      </c>
      <c r="G46">
        <v>9600</v>
      </c>
      <c r="H46" s="1">
        <v>2.82862499999999</v>
      </c>
      <c r="I46" t="s">
        <v>49</v>
      </c>
    </row>
    <row r="47" spans="1:9">
      <c r="A47">
        <v>249</v>
      </c>
      <c r="B47" t="s">
        <v>16</v>
      </c>
      <c r="C47" t="s">
        <v>17</v>
      </c>
      <c r="D47" s="1">
        <v>27244.12</v>
      </c>
      <c r="E47">
        <v>950</v>
      </c>
      <c r="F47">
        <v>225</v>
      </c>
      <c r="G47">
        <v>8700</v>
      </c>
      <c r="H47" s="1">
        <v>3.1315080459770099</v>
      </c>
      <c r="I47" t="s">
        <v>49</v>
      </c>
    </row>
    <row r="48" spans="1:9">
      <c r="A48">
        <v>245</v>
      </c>
      <c r="B48" t="s">
        <v>16</v>
      </c>
      <c r="C48" t="s">
        <v>23</v>
      </c>
      <c r="D48">
        <v>27254.880000000001</v>
      </c>
      <c r="E48">
        <v>975</v>
      </c>
      <c r="F48">
        <v>325</v>
      </c>
      <c r="G48">
        <v>7800</v>
      </c>
      <c r="H48" s="1">
        <v>3.4942153846153801</v>
      </c>
      <c r="I48" t="s">
        <v>49</v>
      </c>
    </row>
    <row r="49" spans="1:9">
      <c r="A49">
        <v>350</v>
      </c>
      <c r="B49" t="s">
        <v>16</v>
      </c>
      <c r="C49" t="s">
        <v>19</v>
      </c>
      <c r="D49">
        <v>27264</v>
      </c>
      <c r="E49">
        <v>950</v>
      </c>
      <c r="F49">
        <v>325</v>
      </c>
      <c r="G49">
        <v>7500</v>
      </c>
      <c r="H49">
        <v>3.6352000000000002</v>
      </c>
      <c r="I49" t="s">
        <v>49</v>
      </c>
    </row>
    <row r="50" spans="1:9">
      <c r="A50">
        <v>397</v>
      </c>
      <c r="B50" t="s">
        <v>16</v>
      </c>
      <c r="C50" t="s">
        <v>10</v>
      </c>
      <c r="D50">
        <v>27312</v>
      </c>
      <c r="E50">
        <v>975</v>
      </c>
      <c r="F50">
        <v>175</v>
      </c>
      <c r="G50">
        <v>9600</v>
      </c>
      <c r="H50">
        <v>2.8450000000000002</v>
      </c>
      <c r="I50" t="s">
        <v>49</v>
      </c>
    </row>
    <row r="51" spans="1:9">
      <c r="A51">
        <v>394</v>
      </c>
      <c r="B51" t="s">
        <v>16</v>
      </c>
      <c r="C51" t="s">
        <v>17</v>
      </c>
      <c r="D51">
        <v>27364.799999999999</v>
      </c>
      <c r="E51">
        <v>975</v>
      </c>
      <c r="F51">
        <v>325</v>
      </c>
      <c r="G51">
        <v>7800</v>
      </c>
      <c r="H51" s="1">
        <v>3.5083076923076901</v>
      </c>
      <c r="I51" t="s">
        <v>49</v>
      </c>
    </row>
    <row r="52" spans="1:9">
      <c r="A52">
        <v>396</v>
      </c>
      <c r="B52" t="s">
        <v>16</v>
      </c>
      <c r="C52" t="s">
        <v>23</v>
      </c>
      <c r="D52" s="1">
        <v>27524.3999999999</v>
      </c>
      <c r="E52">
        <v>950</v>
      </c>
      <c r="F52">
        <v>200</v>
      </c>
      <c r="G52">
        <v>9000</v>
      </c>
      <c r="H52" s="1">
        <v>3.0582666666666598</v>
      </c>
      <c r="I52" t="s">
        <v>49</v>
      </c>
    </row>
    <row r="53" spans="1:9">
      <c r="A53">
        <v>39</v>
      </c>
      <c r="B53" t="s">
        <v>16</v>
      </c>
      <c r="C53" t="s">
        <v>19</v>
      </c>
      <c r="D53">
        <v>27865.95</v>
      </c>
      <c r="E53">
        <v>950</v>
      </c>
      <c r="F53">
        <v>175</v>
      </c>
      <c r="G53">
        <v>9300</v>
      </c>
      <c r="H53" s="1">
        <v>2.9963387096774099</v>
      </c>
      <c r="I53" t="s">
        <v>49</v>
      </c>
    </row>
    <row r="54" spans="1:9">
      <c r="A54">
        <v>317</v>
      </c>
      <c r="B54" t="s">
        <v>16</v>
      </c>
      <c r="C54" t="s">
        <v>17</v>
      </c>
      <c r="D54" s="1">
        <v>27866.3999999999</v>
      </c>
      <c r="E54">
        <v>875</v>
      </c>
      <c r="F54">
        <v>350</v>
      </c>
      <c r="G54">
        <v>6300</v>
      </c>
      <c r="H54" s="1">
        <v>4.4232380952380899</v>
      </c>
      <c r="I54" t="s">
        <v>49</v>
      </c>
    </row>
    <row r="55" spans="1:9">
      <c r="A55">
        <v>103</v>
      </c>
      <c r="B55" t="s">
        <v>16</v>
      </c>
      <c r="C55" t="s">
        <v>19</v>
      </c>
      <c r="D55">
        <v>27925.360000000001</v>
      </c>
      <c r="E55">
        <v>950</v>
      </c>
      <c r="F55">
        <v>325</v>
      </c>
      <c r="G55">
        <v>7500</v>
      </c>
      <c r="H55" s="1">
        <v>3.7233813333333301</v>
      </c>
      <c r="I55" t="s">
        <v>49</v>
      </c>
    </row>
    <row r="56" spans="1:9">
      <c r="A56">
        <v>127</v>
      </c>
      <c r="B56" t="s">
        <v>16</v>
      </c>
      <c r="C56" t="s">
        <v>17</v>
      </c>
      <c r="D56" s="1">
        <v>28017.919999999998</v>
      </c>
      <c r="E56">
        <v>825</v>
      </c>
      <c r="F56">
        <v>375</v>
      </c>
      <c r="G56">
        <v>5400</v>
      </c>
      <c r="H56" s="1">
        <v>5.1885037037036996</v>
      </c>
      <c r="I56" t="s">
        <v>47</v>
      </c>
    </row>
    <row r="57" spans="1:9">
      <c r="A57">
        <v>147</v>
      </c>
      <c r="B57" t="s">
        <v>16</v>
      </c>
      <c r="C57" t="s">
        <v>23</v>
      </c>
      <c r="D57">
        <v>28147.9</v>
      </c>
      <c r="E57">
        <v>875</v>
      </c>
      <c r="F57">
        <v>350</v>
      </c>
      <c r="G57">
        <v>6300</v>
      </c>
      <c r="H57" s="1">
        <v>4.4679206349206302</v>
      </c>
      <c r="I57" t="s">
        <v>49</v>
      </c>
    </row>
    <row r="58" spans="1:9">
      <c r="A58">
        <v>373</v>
      </c>
      <c r="B58" t="s">
        <v>16</v>
      </c>
      <c r="C58" t="s">
        <v>17</v>
      </c>
      <c r="D58">
        <v>28458</v>
      </c>
      <c r="E58">
        <v>975</v>
      </c>
      <c r="F58">
        <v>225</v>
      </c>
      <c r="G58">
        <v>9000</v>
      </c>
      <c r="H58">
        <v>3.1619999999999999</v>
      </c>
      <c r="I58" t="s">
        <v>49</v>
      </c>
    </row>
    <row r="59" spans="1:9">
      <c r="A59">
        <v>290</v>
      </c>
      <c r="B59" t="s">
        <v>16</v>
      </c>
      <c r="C59" t="s">
        <v>10</v>
      </c>
      <c r="D59">
        <v>28506</v>
      </c>
      <c r="E59">
        <v>975</v>
      </c>
      <c r="F59">
        <v>350</v>
      </c>
      <c r="G59">
        <v>7500</v>
      </c>
      <c r="H59">
        <v>3.8008000000000002</v>
      </c>
      <c r="I59" t="s">
        <v>49</v>
      </c>
    </row>
    <row r="60" spans="1:9">
      <c r="A60">
        <v>88</v>
      </c>
      <c r="B60" t="s">
        <v>16</v>
      </c>
      <c r="C60" t="s">
        <v>23</v>
      </c>
      <c r="D60">
        <v>28656.66</v>
      </c>
      <c r="E60">
        <v>950</v>
      </c>
      <c r="F60">
        <v>300</v>
      </c>
      <c r="G60">
        <v>7800</v>
      </c>
      <c r="H60" s="1">
        <v>3.6739307692307599</v>
      </c>
      <c r="I60" t="s">
        <v>49</v>
      </c>
    </row>
    <row r="61" spans="1:9">
      <c r="A61">
        <v>413</v>
      </c>
      <c r="B61" t="s">
        <v>16</v>
      </c>
      <c r="C61" t="s">
        <v>17</v>
      </c>
      <c r="D61" s="1">
        <v>28665.1499999999</v>
      </c>
      <c r="E61">
        <v>825</v>
      </c>
      <c r="G61">
        <v>9900</v>
      </c>
      <c r="H61" s="1">
        <v>2.8954696969696898</v>
      </c>
      <c r="I61" t="s">
        <v>49</v>
      </c>
    </row>
    <row r="62" spans="1:9">
      <c r="A62">
        <v>177</v>
      </c>
      <c r="B62" t="s">
        <v>16</v>
      </c>
      <c r="C62" t="s">
        <v>19</v>
      </c>
      <c r="D62" s="1">
        <v>28757.8</v>
      </c>
      <c r="E62">
        <v>825</v>
      </c>
      <c r="F62">
        <v>325</v>
      </c>
      <c r="G62">
        <v>6000</v>
      </c>
      <c r="H62" s="1">
        <v>4.7929666666666604</v>
      </c>
      <c r="I62" t="s">
        <v>49</v>
      </c>
    </row>
    <row r="63" spans="1:9">
      <c r="A63">
        <v>55</v>
      </c>
      <c r="B63" t="s">
        <v>16</v>
      </c>
      <c r="C63" t="s">
        <v>23</v>
      </c>
      <c r="D63">
        <v>28861.63</v>
      </c>
      <c r="E63">
        <v>825</v>
      </c>
      <c r="F63">
        <v>325</v>
      </c>
      <c r="G63">
        <v>6000</v>
      </c>
      <c r="H63" s="1">
        <v>4.8102716666666598</v>
      </c>
      <c r="I63" t="s">
        <v>49</v>
      </c>
    </row>
    <row r="64" spans="1:9">
      <c r="A64">
        <v>251</v>
      </c>
      <c r="B64" t="s">
        <v>16</v>
      </c>
      <c r="C64" t="s">
        <v>15</v>
      </c>
      <c r="D64" s="1">
        <v>28901.96</v>
      </c>
      <c r="E64">
        <v>875</v>
      </c>
      <c r="F64">
        <v>150</v>
      </c>
      <c r="G64">
        <v>8700</v>
      </c>
      <c r="H64" s="1">
        <v>3.3220643678160902</v>
      </c>
      <c r="I64" t="s">
        <v>49</v>
      </c>
    </row>
    <row r="65" spans="1:9">
      <c r="A65">
        <v>145</v>
      </c>
      <c r="B65" t="s">
        <v>16</v>
      </c>
      <c r="C65" t="s">
        <v>15</v>
      </c>
      <c r="D65">
        <v>28924.22</v>
      </c>
      <c r="E65">
        <v>875</v>
      </c>
      <c r="F65">
        <v>325</v>
      </c>
      <c r="G65">
        <v>6600</v>
      </c>
      <c r="H65" s="1">
        <v>4.3824575757575701</v>
      </c>
      <c r="I65" t="s">
        <v>49</v>
      </c>
    </row>
    <row r="66" spans="1:9">
      <c r="A66">
        <v>193</v>
      </c>
      <c r="B66" t="s">
        <v>16</v>
      </c>
      <c r="C66" t="s">
        <v>17</v>
      </c>
      <c r="D66">
        <v>29115.02</v>
      </c>
      <c r="E66">
        <v>975</v>
      </c>
      <c r="F66">
        <v>325</v>
      </c>
      <c r="G66">
        <v>7800</v>
      </c>
      <c r="H66" s="1">
        <v>3.73269487179487</v>
      </c>
      <c r="I66" t="s">
        <v>49</v>
      </c>
    </row>
    <row r="67" spans="1:9">
      <c r="A67">
        <v>391</v>
      </c>
      <c r="B67" t="s">
        <v>16</v>
      </c>
      <c r="C67" t="s">
        <v>19</v>
      </c>
      <c r="D67">
        <v>29400</v>
      </c>
      <c r="E67">
        <v>875</v>
      </c>
      <c r="F67">
        <v>325</v>
      </c>
      <c r="G67">
        <v>6600</v>
      </c>
      <c r="H67" s="1">
        <v>4.4545454545454497</v>
      </c>
      <c r="I67" t="s">
        <v>49</v>
      </c>
    </row>
    <row r="68" spans="1:9">
      <c r="A68">
        <v>29</v>
      </c>
      <c r="B68" t="s">
        <v>16</v>
      </c>
      <c r="C68" t="s">
        <v>17</v>
      </c>
      <c r="D68">
        <v>29622</v>
      </c>
      <c r="E68">
        <v>975</v>
      </c>
      <c r="F68">
        <v>350</v>
      </c>
      <c r="G68">
        <v>7500</v>
      </c>
      <c r="H68">
        <v>3.9496000000000002</v>
      </c>
      <c r="I68" t="s">
        <v>49</v>
      </c>
    </row>
    <row r="69" spans="1:9">
      <c r="A69">
        <v>323</v>
      </c>
      <c r="B69" t="s">
        <v>16</v>
      </c>
      <c r="C69" t="s">
        <v>10</v>
      </c>
      <c r="D69" s="1">
        <v>29636.3999999999</v>
      </c>
      <c r="E69">
        <v>825</v>
      </c>
      <c r="F69">
        <v>200</v>
      </c>
      <c r="G69">
        <v>7500</v>
      </c>
      <c r="H69">
        <v>3.9515199999999999</v>
      </c>
      <c r="I69" t="s">
        <v>49</v>
      </c>
    </row>
    <row r="70" spans="1:9">
      <c r="A70">
        <v>254</v>
      </c>
      <c r="B70" t="s">
        <v>16</v>
      </c>
      <c r="C70" t="s">
        <v>23</v>
      </c>
      <c r="D70">
        <v>29835.82</v>
      </c>
      <c r="E70">
        <v>950</v>
      </c>
      <c r="F70">
        <v>225</v>
      </c>
      <c r="G70">
        <v>8700</v>
      </c>
      <c r="H70" s="1">
        <v>3.42940459770114</v>
      </c>
      <c r="I70" t="s">
        <v>49</v>
      </c>
    </row>
    <row r="71" spans="1:9">
      <c r="A71">
        <v>427</v>
      </c>
      <c r="B71" t="s">
        <v>16</v>
      </c>
      <c r="C71" t="s">
        <v>23</v>
      </c>
      <c r="D71" s="1">
        <v>29895.1499999999</v>
      </c>
      <c r="E71">
        <v>950</v>
      </c>
      <c r="F71">
        <v>275</v>
      </c>
      <c r="G71">
        <v>8100</v>
      </c>
      <c r="H71" s="1">
        <v>3.69075925925925</v>
      </c>
      <c r="I71" t="s">
        <v>49</v>
      </c>
    </row>
    <row r="72" spans="1:9">
      <c r="A72">
        <v>491</v>
      </c>
      <c r="B72" t="s">
        <v>16</v>
      </c>
      <c r="C72" t="s">
        <v>19</v>
      </c>
      <c r="D72">
        <v>29931.25</v>
      </c>
      <c r="E72">
        <v>875</v>
      </c>
      <c r="F72">
        <v>325</v>
      </c>
      <c r="G72">
        <v>6600</v>
      </c>
      <c r="H72" s="1">
        <v>4.53503787878787</v>
      </c>
      <c r="I72" t="s">
        <v>49</v>
      </c>
    </row>
    <row r="73" spans="1:9">
      <c r="A73">
        <v>321</v>
      </c>
      <c r="B73" t="s">
        <v>16</v>
      </c>
      <c r="C73" t="s">
        <v>15</v>
      </c>
      <c r="D73">
        <v>30102</v>
      </c>
      <c r="E73">
        <v>950</v>
      </c>
      <c r="G73">
        <v>11400</v>
      </c>
      <c r="H73" s="1">
        <v>2.6405263157894701</v>
      </c>
      <c r="I73" t="s">
        <v>49</v>
      </c>
    </row>
    <row r="74" spans="1:9">
      <c r="A74">
        <v>170</v>
      </c>
      <c r="B74" t="s">
        <v>16</v>
      </c>
      <c r="C74" t="s">
        <v>15</v>
      </c>
      <c r="D74" s="1">
        <v>30138.48</v>
      </c>
      <c r="E74">
        <v>825</v>
      </c>
      <c r="F74">
        <v>250</v>
      </c>
      <c r="G74">
        <v>6900</v>
      </c>
      <c r="H74" s="1">
        <v>4.3678956521739103</v>
      </c>
      <c r="I74" t="s">
        <v>49</v>
      </c>
    </row>
    <row r="75" spans="1:9">
      <c r="A75">
        <v>328</v>
      </c>
      <c r="B75" t="s">
        <v>16</v>
      </c>
      <c r="C75" t="s">
        <v>17</v>
      </c>
      <c r="D75">
        <v>30178.799999999999</v>
      </c>
      <c r="E75">
        <v>975</v>
      </c>
      <c r="F75">
        <v>300</v>
      </c>
      <c r="G75">
        <v>8100</v>
      </c>
      <c r="H75" s="1">
        <v>3.7257777777777701</v>
      </c>
      <c r="I75" t="s">
        <v>49</v>
      </c>
    </row>
    <row r="76" spans="1:9">
      <c r="A76">
        <v>66</v>
      </c>
      <c r="B76" t="s">
        <v>16</v>
      </c>
      <c r="C76" t="s">
        <v>15</v>
      </c>
      <c r="D76" s="1">
        <v>30245.279999999999</v>
      </c>
      <c r="E76">
        <v>825</v>
      </c>
      <c r="F76">
        <v>400</v>
      </c>
      <c r="G76">
        <v>5100</v>
      </c>
      <c r="H76">
        <v>5.9304470588235301</v>
      </c>
      <c r="I76" t="s">
        <v>47</v>
      </c>
    </row>
    <row r="77" spans="1:9">
      <c r="A77">
        <v>256</v>
      </c>
      <c r="B77" t="s">
        <v>16</v>
      </c>
      <c r="C77" t="s">
        <v>17</v>
      </c>
      <c r="D77">
        <v>30325</v>
      </c>
      <c r="E77">
        <v>875</v>
      </c>
      <c r="F77">
        <v>350</v>
      </c>
      <c r="G77">
        <v>6300</v>
      </c>
      <c r="H77" s="1">
        <v>4.8134920634920597</v>
      </c>
      <c r="I77" t="s">
        <v>49</v>
      </c>
    </row>
    <row r="78" spans="1:9">
      <c r="A78">
        <v>313</v>
      </c>
      <c r="B78" t="s">
        <v>16</v>
      </c>
      <c r="C78" t="s">
        <v>17</v>
      </c>
      <c r="D78">
        <v>30336</v>
      </c>
      <c r="E78">
        <v>825</v>
      </c>
      <c r="F78">
        <v>325</v>
      </c>
      <c r="G78">
        <v>6000</v>
      </c>
      <c r="H78">
        <v>5.056</v>
      </c>
      <c r="I78" t="s">
        <v>47</v>
      </c>
    </row>
    <row r="79" spans="1:9">
      <c r="A79">
        <v>185</v>
      </c>
      <c r="B79" t="s">
        <v>16</v>
      </c>
      <c r="C79" t="s">
        <v>23</v>
      </c>
      <c r="D79">
        <v>30366.880000000001</v>
      </c>
      <c r="E79">
        <v>825</v>
      </c>
      <c r="F79">
        <v>325</v>
      </c>
      <c r="G79">
        <v>6000</v>
      </c>
      <c r="H79" s="1">
        <v>5.0611466666666596</v>
      </c>
      <c r="I79" t="s">
        <v>47</v>
      </c>
    </row>
    <row r="80" spans="1:9">
      <c r="A80">
        <v>333</v>
      </c>
      <c r="B80" t="s">
        <v>16</v>
      </c>
      <c r="C80" t="s">
        <v>15</v>
      </c>
      <c r="D80" s="1">
        <v>30398.3999999999</v>
      </c>
      <c r="E80">
        <v>975</v>
      </c>
      <c r="F80">
        <v>350</v>
      </c>
      <c r="G80">
        <v>7500</v>
      </c>
      <c r="H80">
        <v>4.0531199999999998</v>
      </c>
      <c r="I80" t="s">
        <v>49</v>
      </c>
    </row>
    <row r="81" spans="1:9">
      <c r="A81">
        <v>209</v>
      </c>
      <c r="B81" t="s">
        <v>16</v>
      </c>
      <c r="C81" t="s">
        <v>17</v>
      </c>
      <c r="D81" s="1">
        <v>30456.98</v>
      </c>
      <c r="E81">
        <v>825</v>
      </c>
      <c r="F81">
        <v>200</v>
      </c>
      <c r="G81">
        <v>7500</v>
      </c>
      <c r="H81" s="1">
        <v>4.0609306666666596</v>
      </c>
      <c r="I81" t="s">
        <v>49</v>
      </c>
    </row>
    <row r="82" spans="1:9">
      <c r="A82">
        <v>192</v>
      </c>
      <c r="B82" t="s">
        <v>16</v>
      </c>
      <c r="C82" t="s">
        <v>19</v>
      </c>
      <c r="D82">
        <v>30542.84</v>
      </c>
      <c r="E82">
        <v>950</v>
      </c>
      <c r="F82">
        <v>200</v>
      </c>
      <c r="G82">
        <v>9000</v>
      </c>
      <c r="H82" s="1">
        <v>3.3936488888888801</v>
      </c>
      <c r="I82" t="s">
        <v>49</v>
      </c>
    </row>
    <row r="83" spans="1:9">
      <c r="A83">
        <v>247</v>
      </c>
      <c r="B83" t="s">
        <v>16</v>
      </c>
      <c r="C83" t="s">
        <v>23</v>
      </c>
      <c r="D83" s="1">
        <v>30556.44</v>
      </c>
      <c r="E83">
        <v>825</v>
      </c>
      <c r="F83">
        <v>250</v>
      </c>
      <c r="G83">
        <v>6900</v>
      </c>
      <c r="H83" s="1">
        <v>4.42846956521739</v>
      </c>
      <c r="I83" t="s">
        <v>49</v>
      </c>
    </row>
    <row r="84" spans="1:9">
      <c r="A84">
        <v>227</v>
      </c>
      <c r="B84" t="s">
        <v>16</v>
      </c>
      <c r="C84" t="s">
        <v>10</v>
      </c>
      <c r="D84">
        <v>30646.080000000002</v>
      </c>
      <c r="E84">
        <v>975</v>
      </c>
      <c r="F84">
        <v>325</v>
      </c>
      <c r="G84">
        <v>7800</v>
      </c>
      <c r="H84" s="1">
        <v>3.9289846153846102</v>
      </c>
      <c r="I84" t="s">
        <v>49</v>
      </c>
    </row>
    <row r="85" spans="1:9">
      <c r="A85">
        <v>314</v>
      </c>
      <c r="B85" t="s">
        <v>16</v>
      </c>
      <c r="C85" t="s">
        <v>10</v>
      </c>
      <c r="D85" s="1">
        <v>30674.3999999999</v>
      </c>
      <c r="E85">
        <v>950</v>
      </c>
      <c r="F85">
        <v>325</v>
      </c>
      <c r="G85">
        <v>7500</v>
      </c>
      <c r="H85" s="1">
        <v>4.0899199999999896</v>
      </c>
      <c r="I85" t="s">
        <v>49</v>
      </c>
    </row>
    <row r="86" spans="1:9">
      <c r="A86">
        <v>285</v>
      </c>
      <c r="B86" t="s">
        <v>16</v>
      </c>
      <c r="C86" t="s">
        <v>19</v>
      </c>
      <c r="D86" s="1">
        <v>30799.179999999898</v>
      </c>
      <c r="E86">
        <v>825</v>
      </c>
      <c r="F86">
        <v>350</v>
      </c>
      <c r="G86">
        <v>5700</v>
      </c>
      <c r="H86" s="1">
        <v>5.4033649122806997</v>
      </c>
      <c r="I86" t="s">
        <v>47</v>
      </c>
    </row>
    <row r="87" spans="1:9">
      <c r="A87">
        <v>480</v>
      </c>
      <c r="B87" t="s">
        <v>16</v>
      </c>
      <c r="C87" t="s">
        <v>10</v>
      </c>
      <c r="D87">
        <v>30970</v>
      </c>
      <c r="E87">
        <v>825</v>
      </c>
      <c r="F87">
        <v>325</v>
      </c>
      <c r="G87">
        <v>6000</v>
      </c>
      <c r="H87" s="1">
        <v>5.16166666666666</v>
      </c>
      <c r="I87" t="s">
        <v>47</v>
      </c>
    </row>
    <row r="88" spans="1:9">
      <c r="A88">
        <v>132</v>
      </c>
      <c r="B88" t="s">
        <v>16</v>
      </c>
      <c r="C88" t="s">
        <v>19</v>
      </c>
      <c r="D88">
        <v>31024.080000000002</v>
      </c>
      <c r="E88">
        <v>950</v>
      </c>
      <c r="F88">
        <v>275</v>
      </c>
      <c r="G88">
        <v>8100</v>
      </c>
      <c r="H88" s="1">
        <v>3.8301333333333298</v>
      </c>
      <c r="I88" t="s">
        <v>49</v>
      </c>
    </row>
    <row r="89" spans="1:9">
      <c r="A89">
        <v>38</v>
      </c>
      <c r="B89" t="s">
        <v>16</v>
      </c>
      <c r="C89" t="s">
        <v>17</v>
      </c>
      <c r="D89" s="1">
        <v>31061.1</v>
      </c>
      <c r="E89">
        <v>875</v>
      </c>
      <c r="F89">
        <v>250</v>
      </c>
      <c r="G89">
        <v>7500</v>
      </c>
      <c r="H89" s="1">
        <v>4.1414799999999996</v>
      </c>
      <c r="I89" t="s">
        <v>49</v>
      </c>
    </row>
    <row r="90" spans="1:9">
      <c r="A90">
        <v>417</v>
      </c>
      <c r="B90" t="s">
        <v>16</v>
      </c>
      <c r="C90" t="s">
        <v>19</v>
      </c>
      <c r="D90">
        <v>31079.64</v>
      </c>
      <c r="E90">
        <v>950</v>
      </c>
      <c r="F90">
        <v>200</v>
      </c>
      <c r="G90">
        <v>9000</v>
      </c>
      <c r="H90" s="1">
        <v>3.4532933333333302</v>
      </c>
      <c r="I90" t="s">
        <v>49</v>
      </c>
    </row>
    <row r="91" spans="1:9">
      <c r="A91">
        <v>419</v>
      </c>
      <c r="B91" t="s">
        <v>16</v>
      </c>
      <c r="C91" t="s">
        <v>23</v>
      </c>
      <c r="D91" s="1">
        <v>31114.0799999999</v>
      </c>
      <c r="E91">
        <v>825</v>
      </c>
      <c r="F91">
        <v>225</v>
      </c>
      <c r="G91">
        <v>7200</v>
      </c>
      <c r="H91">
        <v>4.3213999999999997</v>
      </c>
      <c r="I91" t="s">
        <v>49</v>
      </c>
    </row>
    <row r="92" spans="1:9">
      <c r="A92">
        <v>74</v>
      </c>
      <c r="B92" t="s">
        <v>16</v>
      </c>
      <c r="C92" t="s">
        <v>23</v>
      </c>
      <c r="D92">
        <v>31138.639999999999</v>
      </c>
      <c r="E92">
        <v>825</v>
      </c>
      <c r="F92">
        <v>375</v>
      </c>
      <c r="G92">
        <v>5400</v>
      </c>
      <c r="H92" s="1">
        <v>5.7664148148148104</v>
      </c>
      <c r="I92" t="s">
        <v>47</v>
      </c>
    </row>
    <row r="93" spans="1:9">
      <c r="A93">
        <v>95</v>
      </c>
      <c r="B93" t="s">
        <v>16</v>
      </c>
      <c r="C93" t="s">
        <v>17</v>
      </c>
      <c r="D93" s="1">
        <v>31161.62</v>
      </c>
      <c r="E93">
        <v>975</v>
      </c>
      <c r="F93">
        <v>250</v>
      </c>
      <c r="G93">
        <v>8700</v>
      </c>
      <c r="H93" s="1">
        <v>3.5817954022988499</v>
      </c>
      <c r="I93" t="s">
        <v>49</v>
      </c>
    </row>
    <row r="94" spans="1:9">
      <c r="A94">
        <v>140</v>
      </c>
      <c r="B94" t="s">
        <v>16</v>
      </c>
      <c r="C94" t="s">
        <v>10</v>
      </c>
      <c r="D94">
        <v>31352.68</v>
      </c>
      <c r="E94">
        <v>975</v>
      </c>
      <c r="F94">
        <v>175</v>
      </c>
      <c r="G94">
        <v>9600</v>
      </c>
      <c r="H94" s="1">
        <v>3.2659041666666599</v>
      </c>
      <c r="I94" t="s">
        <v>49</v>
      </c>
    </row>
    <row r="95" spans="1:9">
      <c r="A95">
        <v>367</v>
      </c>
      <c r="B95" t="s">
        <v>16</v>
      </c>
      <c r="C95" t="s">
        <v>23</v>
      </c>
      <c r="D95">
        <v>31366.799999999999</v>
      </c>
      <c r="E95">
        <v>950</v>
      </c>
      <c r="F95">
        <v>325</v>
      </c>
      <c r="G95">
        <v>7500</v>
      </c>
      <c r="H95">
        <v>4.1822400000000002</v>
      </c>
      <c r="I95" t="s">
        <v>49</v>
      </c>
    </row>
    <row r="96" spans="1:9">
      <c r="A96">
        <v>418</v>
      </c>
      <c r="B96" t="s">
        <v>16</v>
      </c>
      <c r="C96" t="s">
        <v>15</v>
      </c>
      <c r="D96">
        <v>31531.05</v>
      </c>
      <c r="E96">
        <v>825</v>
      </c>
      <c r="F96">
        <v>200</v>
      </c>
      <c r="G96">
        <v>7500</v>
      </c>
      <c r="H96">
        <v>4.2041399999999998</v>
      </c>
      <c r="I96" t="s">
        <v>49</v>
      </c>
    </row>
    <row r="97" spans="1:9">
      <c r="A97">
        <v>221</v>
      </c>
      <c r="B97" t="s">
        <v>16</v>
      </c>
      <c r="C97" t="s">
        <v>15</v>
      </c>
      <c r="D97">
        <v>31720.68</v>
      </c>
      <c r="E97">
        <v>950</v>
      </c>
      <c r="F97">
        <v>275</v>
      </c>
      <c r="G97">
        <v>8100</v>
      </c>
      <c r="H97" s="1">
        <v>3.9161333333333301</v>
      </c>
      <c r="I97" t="s">
        <v>49</v>
      </c>
    </row>
    <row r="98" spans="1:9">
      <c r="A98">
        <v>219</v>
      </c>
      <c r="B98" t="s">
        <v>16</v>
      </c>
      <c r="C98" t="s">
        <v>23</v>
      </c>
      <c r="D98" s="1">
        <v>31851.94</v>
      </c>
      <c r="E98">
        <v>825</v>
      </c>
      <c r="F98">
        <v>175</v>
      </c>
      <c r="G98">
        <v>7800</v>
      </c>
      <c r="H98" s="1">
        <v>4.0835820512820504</v>
      </c>
      <c r="I98" t="s">
        <v>49</v>
      </c>
    </row>
    <row r="99" spans="1:9">
      <c r="A99">
        <v>195</v>
      </c>
      <c r="B99" t="s">
        <v>16</v>
      </c>
      <c r="C99" t="s">
        <v>17</v>
      </c>
      <c r="D99" s="1">
        <v>32039.279999999999</v>
      </c>
      <c r="E99">
        <v>875</v>
      </c>
      <c r="F99">
        <v>375</v>
      </c>
      <c r="G99">
        <v>6000</v>
      </c>
      <c r="H99" s="1">
        <v>5.33988</v>
      </c>
      <c r="I99" t="s">
        <v>47</v>
      </c>
    </row>
    <row r="100" spans="1:9">
      <c r="A100">
        <v>483</v>
      </c>
      <c r="B100" t="s">
        <v>16</v>
      </c>
      <c r="C100" t="s">
        <v>17</v>
      </c>
      <c r="D100">
        <v>32045</v>
      </c>
      <c r="E100">
        <v>950</v>
      </c>
      <c r="F100">
        <v>275</v>
      </c>
      <c r="G100">
        <v>8100</v>
      </c>
      <c r="H100" s="1">
        <v>3.9561728395061699</v>
      </c>
      <c r="I100" t="s">
        <v>49</v>
      </c>
    </row>
    <row r="101" spans="1:9">
      <c r="A101">
        <v>253</v>
      </c>
      <c r="B101" t="s">
        <v>16</v>
      </c>
      <c r="C101" t="s">
        <v>17</v>
      </c>
      <c r="D101" s="1">
        <v>32231.42</v>
      </c>
      <c r="E101">
        <v>825</v>
      </c>
      <c r="F101">
        <v>150</v>
      </c>
      <c r="G101">
        <v>8100</v>
      </c>
      <c r="H101" s="1">
        <v>3.9791876543209801</v>
      </c>
      <c r="I101" t="s">
        <v>49</v>
      </c>
    </row>
    <row r="102" spans="1:9">
      <c r="A102">
        <v>443</v>
      </c>
      <c r="B102" t="s">
        <v>16</v>
      </c>
      <c r="C102" t="s">
        <v>17</v>
      </c>
      <c r="D102" s="1">
        <v>32262.8999999999</v>
      </c>
      <c r="E102">
        <v>975</v>
      </c>
      <c r="F102">
        <v>225</v>
      </c>
      <c r="G102">
        <v>9000</v>
      </c>
      <c r="H102" s="1">
        <v>3.5847666666666602</v>
      </c>
      <c r="I102" t="s">
        <v>49</v>
      </c>
    </row>
    <row r="103" spans="1:9">
      <c r="A103">
        <v>473</v>
      </c>
      <c r="B103" t="s">
        <v>16</v>
      </c>
      <c r="C103" t="s">
        <v>17</v>
      </c>
      <c r="D103">
        <v>32447.5</v>
      </c>
      <c r="E103">
        <v>825</v>
      </c>
      <c r="F103">
        <v>300</v>
      </c>
      <c r="G103">
        <v>6300</v>
      </c>
      <c r="H103" s="1">
        <v>5.15039682539682</v>
      </c>
      <c r="I103" t="s">
        <v>47</v>
      </c>
    </row>
    <row r="104" spans="1:9">
      <c r="A104">
        <v>482</v>
      </c>
      <c r="B104" t="s">
        <v>16</v>
      </c>
      <c r="C104" t="s">
        <v>17</v>
      </c>
      <c r="D104">
        <v>32543.75</v>
      </c>
      <c r="E104">
        <v>875</v>
      </c>
      <c r="F104">
        <v>250</v>
      </c>
      <c r="G104">
        <v>7500</v>
      </c>
      <c r="H104" s="1">
        <v>4.3391666666666602</v>
      </c>
      <c r="I104" t="s">
        <v>49</v>
      </c>
    </row>
    <row r="105" spans="1:9">
      <c r="A105">
        <v>182</v>
      </c>
      <c r="B105" t="s">
        <v>16</v>
      </c>
      <c r="C105" t="s">
        <v>19</v>
      </c>
      <c r="D105">
        <v>32636.34</v>
      </c>
      <c r="E105">
        <v>825</v>
      </c>
      <c r="F105">
        <v>350</v>
      </c>
      <c r="G105">
        <v>5700</v>
      </c>
      <c r="H105" s="1">
        <v>5.7256736842105198</v>
      </c>
      <c r="I105" t="s">
        <v>47</v>
      </c>
    </row>
    <row r="106" spans="1:9">
      <c r="A106">
        <v>257</v>
      </c>
      <c r="B106" t="s">
        <v>16</v>
      </c>
      <c r="C106" t="s">
        <v>17</v>
      </c>
      <c r="D106">
        <v>32822.5</v>
      </c>
      <c r="E106">
        <v>875</v>
      </c>
      <c r="F106">
        <v>175</v>
      </c>
      <c r="G106">
        <v>8400</v>
      </c>
      <c r="H106" s="1">
        <v>3.90744047619047</v>
      </c>
      <c r="I106" t="s">
        <v>49</v>
      </c>
    </row>
    <row r="107" spans="1:9">
      <c r="A107">
        <v>27</v>
      </c>
      <c r="B107" t="s">
        <v>16</v>
      </c>
      <c r="C107" t="s">
        <v>10</v>
      </c>
      <c r="D107">
        <v>32826</v>
      </c>
      <c r="E107">
        <v>950</v>
      </c>
      <c r="F107">
        <v>225</v>
      </c>
      <c r="G107">
        <v>8700</v>
      </c>
      <c r="H107" s="1">
        <v>3.7731034482758599</v>
      </c>
      <c r="I107" t="s">
        <v>49</v>
      </c>
    </row>
    <row r="108" spans="1:9">
      <c r="A108">
        <v>445</v>
      </c>
      <c r="B108" t="s">
        <v>16</v>
      </c>
      <c r="C108" t="s">
        <v>23</v>
      </c>
      <c r="D108">
        <v>32845.919999999998</v>
      </c>
      <c r="E108">
        <v>975</v>
      </c>
      <c r="F108">
        <v>175</v>
      </c>
      <c r="G108">
        <v>9600</v>
      </c>
      <c r="H108" s="1">
        <v>3.4214499999999899</v>
      </c>
      <c r="I108" t="s">
        <v>49</v>
      </c>
    </row>
    <row r="109" spans="1:9">
      <c r="A109">
        <v>107</v>
      </c>
      <c r="B109" t="s">
        <v>16</v>
      </c>
      <c r="C109" t="s">
        <v>23</v>
      </c>
      <c r="D109">
        <v>32906.639999999999</v>
      </c>
      <c r="E109">
        <v>875</v>
      </c>
      <c r="F109">
        <v>275</v>
      </c>
      <c r="G109">
        <v>7200</v>
      </c>
      <c r="H109" s="1">
        <v>4.5703666666666596</v>
      </c>
      <c r="I109" t="s">
        <v>49</v>
      </c>
    </row>
    <row r="110" spans="1:9">
      <c r="A110">
        <v>386</v>
      </c>
      <c r="B110" t="s">
        <v>16</v>
      </c>
      <c r="C110" t="s">
        <v>19</v>
      </c>
      <c r="D110" s="1">
        <v>32908.799999999901</v>
      </c>
      <c r="E110">
        <v>875</v>
      </c>
      <c r="F110">
        <v>350</v>
      </c>
      <c r="G110">
        <v>6300</v>
      </c>
      <c r="H110" s="1">
        <v>5.2236190476190396</v>
      </c>
      <c r="I110" t="s">
        <v>47</v>
      </c>
    </row>
    <row r="111" spans="1:9">
      <c r="A111">
        <v>466</v>
      </c>
      <c r="B111" t="s">
        <v>16</v>
      </c>
      <c r="C111" t="s">
        <v>17</v>
      </c>
      <c r="D111">
        <v>32921.25</v>
      </c>
      <c r="E111">
        <v>975</v>
      </c>
      <c r="F111">
        <v>375</v>
      </c>
      <c r="G111">
        <v>7200</v>
      </c>
      <c r="H111" s="1">
        <v>4.5723958333333297</v>
      </c>
      <c r="I111" t="s">
        <v>49</v>
      </c>
    </row>
    <row r="112" spans="1:9">
      <c r="A112">
        <v>105</v>
      </c>
      <c r="B112" t="s">
        <v>16</v>
      </c>
      <c r="C112" t="s">
        <v>17</v>
      </c>
      <c r="D112">
        <v>33072.9</v>
      </c>
      <c r="E112">
        <v>825</v>
      </c>
      <c r="G112">
        <v>9900</v>
      </c>
      <c r="H112" s="1">
        <v>3.34069696969696</v>
      </c>
      <c r="I112" t="s">
        <v>49</v>
      </c>
    </row>
    <row r="113" spans="1:9">
      <c r="A113">
        <v>352</v>
      </c>
      <c r="B113" t="s">
        <v>16</v>
      </c>
      <c r="C113" t="s">
        <v>10</v>
      </c>
      <c r="D113" s="1">
        <v>33214.799999999901</v>
      </c>
      <c r="E113">
        <v>825</v>
      </c>
      <c r="F113">
        <v>175</v>
      </c>
      <c r="G113">
        <v>7800</v>
      </c>
      <c r="H113" s="1">
        <v>4.2583076923076897</v>
      </c>
      <c r="I113" t="s">
        <v>49</v>
      </c>
    </row>
    <row r="114" spans="1:9">
      <c r="A114">
        <v>33</v>
      </c>
      <c r="B114" t="s">
        <v>16</v>
      </c>
      <c r="C114" t="s">
        <v>19</v>
      </c>
      <c r="D114">
        <v>33341</v>
      </c>
      <c r="E114">
        <v>975</v>
      </c>
      <c r="F114">
        <v>325</v>
      </c>
      <c r="G114">
        <v>7800</v>
      </c>
      <c r="H114" s="1">
        <v>4.2744871794871697</v>
      </c>
      <c r="I114" t="s">
        <v>49</v>
      </c>
    </row>
    <row r="115" spans="1:9">
      <c r="A115">
        <v>49</v>
      </c>
      <c r="B115" t="s">
        <v>16</v>
      </c>
      <c r="C115" t="s">
        <v>10</v>
      </c>
      <c r="D115">
        <v>33360.6</v>
      </c>
      <c r="E115">
        <v>950</v>
      </c>
      <c r="F115">
        <v>325</v>
      </c>
      <c r="G115">
        <v>7500</v>
      </c>
      <c r="H115">
        <v>4.44808</v>
      </c>
      <c r="I115" t="s">
        <v>49</v>
      </c>
    </row>
    <row r="116" spans="1:9">
      <c r="A116">
        <v>414</v>
      </c>
      <c r="B116" t="s">
        <v>16</v>
      </c>
      <c r="C116" t="s">
        <v>17</v>
      </c>
      <c r="D116">
        <v>33428.94</v>
      </c>
      <c r="E116">
        <v>950</v>
      </c>
      <c r="F116">
        <v>350</v>
      </c>
      <c r="G116">
        <v>7200</v>
      </c>
      <c r="H116" s="1">
        <v>4.6429083333333301</v>
      </c>
      <c r="I116" t="s">
        <v>49</v>
      </c>
    </row>
    <row r="117" spans="1:9">
      <c r="A117">
        <v>377</v>
      </c>
      <c r="B117" t="s">
        <v>16</v>
      </c>
      <c r="C117" t="s">
        <v>17</v>
      </c>
      <c r="D117">
        <v>33474</v>
      </c>
      <c r="E117">
        <v>975</v>
      </c>
      <c r="F117">
        <v>300</v>
      </c>
      <c r="G117">
        <v>8100</v>
      </c>
      <c r="H117" s="1">
        <v>4.1325925925925899</v>
      </c>
      <c r="I117" t="s">
        <v>49</v>
      </c>
    </row>
    <row r="118" spans="1:9">
      <c r="A118">
        <v>343</v>
      </c>
      <c r="B118" t="s">
        <v>16</v>
      </c>
      <c r="C118" t="s">
        <v>15</v>
      </c>
      <c r="D118">
        <v>33500.400000000001</v>
      </c>
      <c r="E118">
        <v>875</v>
      </c>
      <c r="F118">
        <v>150</v>
      </c>
      <c r="G118">
        <v>8700</v>
      </c>
      <c r="H118" s="1">
        <v>3.85062068965517</v>
      </c>
      <c r="I118" t="s">
        <v>49</v>
      </c>
    </row>
    <row r="119" spans="1:9">
      <c r="A119">
        <v>370</v>
      </c>
      <c r="B119" t="s">
        <v>16</v>
      </c>
      <c r="C119" t="s">
        <v>19</v>
      </c>
      <c r="D119">
        <v>33554.400000000001</v>
      </c>
      <c r="E119">
        <v>825</v>
      </c>
      <c r="F119">
        <v>350</v>
      </c>
      <c r="G119">
        <v>5700</v>
      </c>
      <c r="H119" s="1">
        <v>5.8867368421052602</v>
      </c>
      <c r="I119" t="s">
        <v>47</v>
      </c>
    </row>
    <row r="120" spans="1:9">
      <c r="A120">
        <v>402</v>
      </c>
      <c r="B120" t="s">
        <v>16</v>
      </c>
      <c r="C120" t="s">
        <v>19</v>
      </c>
      <c r="D120">
        <v>33697.199999999997</v>
      </c>
      <c r="E120">
        <v>825</v>
      </c>
      <c r="F120">
        <v>325</v>
      </c>
      <c r="G120">
        <v>6000</v>
      </c>
      <c r="H120" s="1">
        <v>5.6161999999999903</v>
      </c>
      <c r="I120" t="s">
        <v>47</v>
      </c>
    </row>
    <row r="121" spans="1:9">
      <c r="A121">
        <v>326</v>
      </c>
      <c r="B121" t="s">
        <v>16</v>
      </c>
      <c r="C121" t="s">
        <v>19</v>
      </c>
      <c r="D121">
        <v>33807.599999999999</v>
      </c>
      <c r="E121">
        <v>875</v>
      </c>
      <c r="F121">
        <v>350</v>
      </c>
      <c r="G121">
        <v>6300</v>
      </c>
      <c r="H121" s="1">
        <v>5.3662857142857101</v>
      </c>
      <c r="I121" t="s">
        <v>47</v>
      </c>
    </row>
    <row r="122" spans="1:9">
      <c r="A122">
        <v>365</v>
      </c>
      <c r="B122" t="s">
        <v>16</v>
      </c>
      <c r="C122" t="s">
        <v>10</v>
      </c>
      <c r="D122">
        <v>33969.599999999999</v>
      </c>
      <c r="E122">
        <v>875</v>
      </c>
      <c r="F122">
        <v>175</v>
      </c>
      <c r="G122">
        <v>8400</v>
      </c>
      <c r="H122">
        <v>4.0439999999999996</v>
      </c>
      <c r="I122" t="s">
        <v>49</v>
      </c>
    </row>
    <row r="123" spans="1:9">
      <c r="A123">
        <v>162</v>
      </c>
      <c r="B123" t="s">
        <v>16</v>
      </c>
      <c r="C123" t="s">
        <v>17</v>
      </c>
      <c r="D123" s="1">
        <v>34003.74</v>
      </c>
      <c r="E123">
        <v>825</v>
      </c>
      <c r="G123">
        <v>9900</v>
      </c>
      <c r="H123" s="1">
        <v>3.4347212121212101</v>
      </c>
      <c r="I123" t="s">
        <v>49</v>
      </c>
    </row>
    <row r="124" spans="1:9">
      <c r="A124">
        <v>255</v>
      </c>
      <c r="B124" t="s">
        <v>16</v>
      </c>
      <c r="C124" t="s">
        <v>17</v>
      </c>
      <c r="D124">
        <v>34105</v>
      </c>
      <c r="E124">
        <v>825</v>
      </c>
      <c r="F124">
        <v>325</v>
      </c>
      <c r="G124">
        <v>6000</v>
      </c>
      <c r="H124" s="1">
        <v>5.6841666666666599</v>
      </c>
      <c r="I124" t="s">
        <v>47</v>
      </c>
    </row>
    <row r="125" spans="1:9">
      <c r="A125">
        <v>17</v>
      </c>
      <c r="B125" t="s">
        <v>16</v>
      </c>
      <c r="C125" t="s">
        <v>17</v>
      </c>
      <c r="D125">
        <v>34124</v>
      </c>
      <c r="E125">
        <v>875</v>
      </c>
      <c r="F125">
        <v>200</v>
      </c>
      <c r="G125">
        <v>8100</v>
      </c>
      <c r="H125" s="1">
        <v>4.2128395061728297</v>
      </c>
      <c r="I125" t="s">
        <v>49</v>
      </c>
    </row>
    <row r="126" spans="1:9">
      <c r="A126">
        <v>474</v>
      </c>
      <c r="B126" t="s">
        <v>16</v>
      </c>
      <c r="C126" t="s">
        <v>17</v>
      </c>
      <c r="D126">
        <v>34130</v>
      </c>
      <c r="E126">
        <v>825</v>
      </c>
      <c r="F126">
        <v>350</v>
      </c>
      <c r="G126">
        <v>5700</v>
      </c>
      <c r="H126" s="1">
        <v>5.9877192982456098</v>
      </c>
      <c r="I126" t="s">
        <v>47</v>
      </c>
    </row>
    <row r="127" spans="1:9">
      <c r="A127">
        <v>157</v>
      </c>
      <c r="B127" t="s">
        <v>16</v>
      </c>
      <c r="C127" t="s">
        <v>15</v>
      </c>
      <c r="D127">
        <v>34260.26</v>
      </c>
      <c r="E127">
        <v>875</v>
      </c>
      <c r="F127">
        <v>250</v>
      </c>
      <c r="G127">
        <v>7500</v>
      </c>
      <c r="H127" s="1">
        <v>4.5680346666666596</v>
      </c>
      <c r="I127" t="s">
        <v>49</v>
      </c>
    </row>
    <row r="128" spans="1:9">
      <c r="A128">
        <v>183</v>
      </c>
      <c r="B128" t="s">
        <v>16</v>
      </c>
      <c r="C128" t="s">
        <v>15</v>
      </c>
      <c r="D128">
        <v>34563.42</v>
      </c>
      <c r="E128">
        <v>975</v>
      </c>
      <c r="F128">
        <v>250</v>
      </c>
      <c r="G128">
        <v>8700</v>
      </c>
      <c r="H128" s="1">
        <v>3.9728068965517198</v>
      </c>
      <c r="I128" t="s">
        <v>49</v>
      </c>
    </row>
    <row r="129" spans="1:9">
      <c r="A129">
        <v>424</v>
      </c>
      <c r="B129" t="s">
        <v>16</v>
      </c>
      <c r="C129" t="s">
        <v>15</v>
      </c>
      <c r="D129">
        <v>34626.959999999999</v>
      </c>
      <c r="E129">
        <v>950</v>
      </c>
      <c r="F129">
        <v>350</v>
      </c>
      <c r="G129">
        <v>7200</v>
      </c>
      <c r="H129" s="1">
        <v>4.8092999999999897</v>
      </c>
      <c r="I129" t="s">
        <v>49</v>
      </c>
    </row>
    <row r="130" spans="1:9">
      <c r="A130">
        <v>458</v>
      </c>
      <c r="B130" t="s">
        <v>16</v>
      </c>
      <c r="C130" t="s">
        <v>10</v>
      </c>
      <c r="D130">
        <v>34838.519999999997</v>
      </c>
      <c r="E130">
        <v>975</v>
      </c>
      <c r="F130">
        <v>350</v>
      </c>
      <c r="G130">
        <v>7500</v>
      </c>
      <c r="H130">
        <v>4.6451359999999999</v>
      </c>
      <c r="I130" t="s">
        <v>49</v>
      </c>
    </row>
    <row r="131" spans="1:9">
      <c r="A131">
        <v>305</v>
      </c>
      <c r="B131" t="s">
        <v>16</v>
      </c>
      <c r="C131" t="s">
        <v>23</v>
      </c>
      <c r="D131">
        <v>34915.199999999997</v>
      </c>
      <c r="E131">
        <v>875</v>
      </c>
      <c r="F131">
        <v>275</v>
      </c>
      <c r="G131">
        <v>7200</v>
      </c>
      <c r="H131" s="1">
        <v>4.8493333333333304</v>
      </c>
      <c r="I131" t="s">
        <v>49</v>
      </c>
    </row>
    <row r="132" spans="1:9">
      <c r="A132">
        <v>126</v>
      </c>
      <c r="B132" t="s">
        <v>16</v>
      </c>
      <c r="C132" t="s">
        <v>23</v>
      </c>
      <c r="D132">
        <v>34934.42</v>
      </c>
      <c r="E132">
        <v>825</v>
      </c>
      <c r="F132">
        <v>350</v>
      </c>
      <c r="G132">
        <v>5700</v>
      </c>
      <c r="H132" s="1">
        <v>6.1288456140350798</v>
      </c>
      <c r="I132" t="s">
        <v>47</v>
      </c>
    </row>
    <row r="133" spans="1:9">
      <c r="A133">
        <v>261</v>
      </c>
      <c r="B133" t="s">
        <v>16</v>
      </c>
      <c r="C133" t="s">
        <v>10</v>
      </c>
      <c r="D133">
        <v>35066.25</v>
      </c>
      <c r="E133">
        <v>825</v>
      </c>
      <c r="F133">
        <v>375</v>
      </c>
      <c r="G133">
        <v>5400</v>
      </c>
      <c r="H133">
        <v>6.4937500000000004</v>
      </c>
      <c r="I133" t="s">
        <v>47</v>
      </c>
    </row>
    <row r="134" spans="1:9">
      <c r="A134">
        <v>123</v>
      </c>
      <c r="B134" t="s">
        <v>16</v>
      </c>
      <c r="C134" t="s">
        <v>23</v>
      </c>
      <c r="D134" s="1">
        <v>35134.559999999998</v>
      </c>
      <c r="E134">
        <v>950</v>
      </c>
      <c r="F134">
        <v>150</v>
      </c>
      <c r="G134">
        <v>9600</v>
      </c>
      <c r="H134" s="1">
        <v>3.65985</v>
      </c>
      <c r="I134" t="s">
        <v>49</v>
      </c>
    </row>
    <row r="135" spans="1:9">
      <c r="A135">
        <v>199</v>
      </c>
      <c r="B135" t="s">
        <v>16</v>
      </c>
      <c r="C135" t="s">
        <v>17</v>
      </c>
      <c r="D135">
        <v>35300.120000000003</v>
      </c>
      <c r="E135">
        <v>950</v>
      </c>
      <c r="F135">
        <v>325</v>
      </c>
      <c r="G135">
        <v>7500</v>
      </c>
      <c r="H135" s="1">
        <v>4.7066826666666604</v>
      </c>
      <c r="I135" t="s">
        <v>49</v>
      </c>
    </row>
    <row r="136" spans="1:9">
      <c r="A136">
        <v>117</v>
      </c>
      <c r="B136" t="s">
        <v>16</v>
      </c>
      <c r="C136" t="s">
        <v>19</v>
      </c>
      <c r="D136">
        <v>35308.35</v>
      </c>
      <c r="E136">
        <v>825</v>
      </c>
      <c r="F136">
        <v>325</v>
      </c>
      <c r="G136">
        <v>6000</v>
      </c>
      <c r="H136" s="1">
        <v>5.8847249999999898</v>
      </c>
      <c r="I136" t="s">
        <v>47</v>
      </c>
    </row>
    <row r="137" spans="1:9">
      <c r="A137">
        <v>376</v>
      </c>
      <c r="B137" t="s">
        <v>16</v>
      </c>
      <c r="C137" t="s">
        <v>19</v>
      </c>
      <c r="D137">
        <v>35329.199999999997</v>
      </c>
      <c r="E137">
        <v>950</v>
      </c>
      <c r="F137">
        <v>200</v>
      </c>
      <c r="G137">
        <v>9000</v>
      </c>
      <c r="H137" s="1">
        <v>3.9254666666666602</v>
      </c>
      <c r="I137" t="s">
        <v>49</v>
      </c>
    </row>
    <row r="138" spans="1:9">
      <c r="A138">
        <v>171</v>
      </c>
      <c r="B138" t="s">
        <v>16</v>
      </c>
      <c r="C138" t="s">
        <v>23</v>
      </c>
      <c r="D138">
        <v>35468.400000000001</v>
      </c>
      <c r="E138">
        <v>950</v>
      </c>
      <c r="F138">
        <v>200</v>
      </c>
      <c r="G138">
        <v>9000</v>
      </c>
      <c r="H138" s="1">
        <v>3.9409333333333301</v>
      </c>
      <c r="I138" t="s">
        <v>49</v>
      </c>
    </row>
    <row r="139" spans="1:9">
      <c r="A139">
        <v>115</v>
      </c>
      <c r="B139" t="s">
        <v>16</v>
      </c>
      <c r="C139" t="s">
        <v>17</v>
      </c>
      <c r="D139">
        <v>35494.160000000003</v>
      </c>
      <c r="E139">
        <v>975</v>
      </c>
      <c r="F139">
        <v>150</v>
      </c>
      <c r="G139">
        <v>9900</v>
      </c>
      <c r="H139" s="1">
        <v>3.5852686868686798</v>
      </c>
      <c r="I139" t="s">
        <v>49</v>
      </c>
    </row>
    <row r="140" spans="1:9">
      <c r="A140">
        <v>315</v>
      </c>
      <c r="B140" t="s">
        <v>16</v>
      </c>
      <c r="C140" t="s">
        <v>19</v>
      </c>
      <c r="D140">
        <v>35496</v>
      </c>
      <c r="E140">
        <v>975</v>
      </c>
      <c r="F140">
        <v>200</v>
      </c>
      <c r="G140">
        <v>9300</v>
      </c>
      <c r="H140" s="1">
        <v>3.8167741935483801</v>
      </c>
      <c r="I140" t="s">
        <v>49</v>
      </c>
    </row>
    <row r="141" spans="1:9">
      <c r="A141">
        <v>344</v>
      </c>
      <c r="B141" t="s">
        <v>16</v>
      </c>
      <c r="C141" t="s">
        <v>19</v>
      </c>
      <c r="D141">
        <v>35658</v>
      </c>
      <c r="E141">
        <v>950</v>
      </c>
      <c r="F141">
        <v>325</v>
      </c>
      <c r="G141">
        <v>7500</v>
      </c>
      <c r="H141">
        <v>4.7544000000000004</v>
      </c>
      <c r="I141" t="s">
        <v>49</v>
      </c>
    </row>
    <row r="142" spans="1:9">
      <c r="A142">
        <v>203</v>
      </c>
      <c r="B142" t="s">
        <v>16</v>
      </c>
      <c r="C142" t="s">
        <v>19</v>
      </c>
      <c r="D142">
        <v>35824.68</v>
      </c>
      <c r="E142">
        <v>875</v>
      </c>
      <c r="F142">
        <v>350</v>
      </c>
      <c r="G142">
        <v>6300</v>
      </c>
      <c r="H142" s="1">
        <v>5.6864571428571402</v>
      </c>
      <c r="I142" t="s">
        <v>47</v>
      </c>
    </row>
    <row r="143" spans="1:9">
      <c r="A143">
        <v>240</v>
      </c>
      <c r="B143" t="s">
        <v>16</v>
      </c>
      <c r="C143" t="s">
        <v>19</v>
      </c>
      <c r="D143">
        <v>35835.42</v>
      </c>
      <c r="E143">
        <v>950</v>
      </c>
      <c r="F143">
        <v>250</v>
      </c>
      <c r="G143">
        <v>8400</v>
      </c>
      <c r="H143" s="1">
        <v>4.2661214285714202</v>
      </c>
      <c r="I143" t="s">
        <v>49</v>
      </c>
    </row>
    <row r="144" spans="1:9">
      <c r="A144">
        <v>218</v>
      </c>
      <c r="B144" t="s">
        <v>16</v>
      </c>
      <c r="C144" t="s">
        <v>15</v>
      </c>
      <c r="D144" s="1">
        <v>35850.6</v>
      </c>
      <c r="E144">
        <v>825</v>
      </c>
      <c r="F144">
        <v>350</v>
      </c>
      <c r="G144">
        <v>5700</v>
      </c>
      <c r="H144" s="1">
        <v>6.2895789473684198</v>
      </c>
      <c r="I144" t="s">
        <v>47</v>
      </c>
    </row>
    <row r="145" spans="1:9">
      <c r="A145">
        <v>498</v>
      </c>
      <c r="B145" t="s">
        <v>16</v>
      </c>
      <c r="C145" t="s">
        <v>17</v>
      </c>
      <c r="D145">
        <v>35860</v>
      </c>
      <c r="E145">
        <v>950</v>
      </c>
      <c r="F145">
        <v>225</v>
      </c>
      <c r="G145">
        <v>8700</v>
      </c>
      <c r="H145">
        <v>4.12183908045977</v>
      </c>
      <c r="I145" t="s">
        <v>49</v>
      </c>
    </row>
    <row r="146" spans="1:9">
      <c r="A146">
        <v>374</v>
      </c>
      <c r="B146" t="s">
        <v>16</v>
      </c>
      <c r="C146" t="s">
        <v>17</v>
      </c>
      <c r="D146" s="1">
        <v>35860.799999999901</v>
      </c>
      <c r="E146">
        <v>975</v>
      </c>
      <c r="G146">
        <v>11700</v>
      </c>
      <c r="H146" s="1">
        <v>3.06502564102564</v>
      </c>
      <c r="I146" t="s">
        <v>49</v>
      </c>
    </row>
    <row r="147" spans="1:9">
      <c r="A147">
        <v>82</v>
      </c>
      <c r="B147" t="s">
        <v>16</v>
      </c>
      <c r="C147" t="s">
        <v>10</v>
      </c>
      <c r="D147">
        <v>35933.040000000001</v>
      </c>
      <c r="E147">
        <v>875</v>
      </c>
      <c r="F147">
        <v>225</v>
      </c>
      <c r="G147">
        <v>7800</v>
      </c>
      <c r="H147">
        <v>4.6067999999999998</v>
      </c>
      <c r="I147" t="s">
        <v>49</v>
      </c>
    </row>
    <row r="148" spans="1:9">
      <c r="A148">
        <v>371</v>
      </c>
      <c r="B148" t="s">
        <v>16</v>
      </c>
      <c r="C148" t="s">
        <v>23</v>
      </c>
      <c r="D148" s="1">
        <v>35968.799999999901</v>
      </c>
      <c r="E148">
        <v>825</v>
      </c>
      <c r="F148">
        <v>350</v>
      </c>
      <c r="G148">
        <v>5700</v>
      </c>
      <c r="H148" s="1">
        <v>6.3103157894736803</v>
      </c>
      <c r="I148" t="s">
        <v>47</v>
      </c>
    </row>
    <row r="149" spans="1:9">
      <c r="A149">
        <v>128</v>
      </c>
      <c r="B149" t="s">
        <v>16</v>
      </c>
      <c r="C149" t="s">
        <v>15</v>
      </c>
      <c r="D149" s="1">
        <v>36090.879999999997</v>
      </c>
      <c r="E149">
        <v>825</v>
      </c>
      <c r="F149">
        <v>325</v>
      </c>
      <c r="G149">
        <v>6000</v>
      </c>
      <c r="H149" s="1">
        <v>6.0151466666666602</v>
      </c>
      <c r="I149" t="s">
        <v>47</v>
      </c>
    </row>
    <row r="150" spans="1:9">
      <c r="A150">
        <v>468</v>
      </c>
      <c r="B150" t="s">
        <v>16</v>
      </c>
      <c r="C150" t="s">
        <v>23</v>
      </c>
      <c r="D150">
        <v>36393.75</v>
      </c>
      <c r="E150">
        <v>825</v>
      </c>
      <c r="F150">
        <v>250</v>
      </c>
      <c r="G150">
        <v>6900</v>
      </c>
      <c r="H150" s="1">
        <v>5.2744565217391299</v>
      </c>
      <c r="I150" t="s">
        <v>47</v>
      </c>
    </row>
    <row r="151" spans="1:9">
      <c r="A151">
        <v>228</v>
      </c>
      <c r="B151" t="s">
        <v>16</v>
      </c>
      <c r="C151" t="s">
        <v>19</v>
      </c>
      <c r="D151">
        <v>36587.160000000003</v>
      </c>
      <c r="E151">
        <v>950</v>
      </c>
      <c r="F151">
        <v>325</v>
      </c>
      <c r="G151">
        <v>7500</v>
      </c>
      <c r="H151">
        <v>4.8782880000000004</v>
      </c>
      <c r="I151" t="s">
        <v>49</v>
      </c>
    </row>
    <row r="152" spans="1:9">
      <c r="A152">
        <v>160</v>
      </c>
      <c r="B152" t="s">
        <v>16</v>
      </c>
      <c r="C152" t="s">
        <v>19</v>
      </c>
      <c r="D152">
        <v>36601.4</v>
      </c>
      <c r="E152">
        <v>975</v>
      </c>
      <c r="F152">
        <v>275</v>
      </c>
      <c r="G152">
        <v>8400</v>
      </c>
      <c r="H152" s="1">
        <v>4.3573095238095201</v>
      </c>
      <c r="I152" t="s">
        <v>49</v>
      </c>
    </row>
    <row r="153" spans="1:9">
      <c r="A153">
        <v>85</v>
      </c>
      <c r="B153" t="s">
        <v>16</v>
      </c>
      <c r="C153" t="s">
        <v>23</v>
      </c>
      <c r="D153" s="1">
        <v>36601.949999999997</v>
      </c>
      <c r="E153">
        <v>975</v>
      </c>
      <c r="F153">
        <v>325</v>
      </c>
      <c r="G153">
        <v>7800</v>
      </c>
      <c r="H153" s="1">
        <v>4.6925576923076902</v>
      </c>
      <c r="I153" t="s">
        <v>49</v>
      </c>
    </row>
    <row r="154" spans="1:9">
      <c r="A154">
        <v>292</v>
      </c>
      <c r="B154" t="s">
        <v>16</v>
      </c>
      <c r="C154" t="s">
        <v>23</v>
      </c>
      <c r="D154" s="1">
        <v>36832.799999999901</v>
      </c>
      <c r="E154">
        <v>875</v>
      </c>
      <c r="F154">
        <v>275</v>
      </c>
      <c r="G154">
        <v>7200</v>
      </c>
      <c r="H154" s="1">
        <v>5.1156666666666597</v>
      </c>
      <c r="I154" t="s">
        <v>47</v>
      </c>
    </row>
    <row r="155" spans="1:9">
      <c r="A155">
        <v>194</v>
      </c>
      <c r="B155" t="s">
        <v>16</v>
      </c>
      <c r="C155" t="s">
        <v>19</v>
      </c>
      <c r="D155">
        <v>36980.28</v>
      </c>
      <c r="E155">
        <v>950</v>
      </c>
      <c r="F155">
        <v>350</v>
      </c>
      <c r="G155">
        <v>7200</v>
      </c>
      <c r="H155">
        <v>5.1361499999999998</v>
      </c>
      <c r="I155" t="s">
        <v>47</v>
      </c>
    </row>
    <row r="156" spans="1:9">
      <c r="A156">
        <v>312</v>
      </c>
      <c r="B156" t="s">
        <v>16</v>
      </c>
      <c r="C156" t="s">
        <v>19</v>
      </c>
      <c r="D156">
        <v>37052.400000000001</v>
      </c>
      <c r="E156">
        <v>950</v>
      </c>
      <c r="F156">
        <v>150</v>
      </c>
      <c r="G156">
        <v>9600</v>
      </c>
      <c r="H156" s="1">
        <v>3.8596249999999999</v>
      </c>
      <c r="I156" t="s">
        <v>49</v>
      </c>
    </row>
    <row r="157" spans="1:9">
      <c r="A157">
        <v>463</v>
      </c>
      <c r="B157" t="s">
        <v>16</v>
      </c>
      <c r="C157" t="s">
        <v>17</v>
      </c>
      <c r="D157">
        <v>37098.75</v>
      </c>
      <c r="E157">
        <v>825</v>
      </c>
      <c r="F157">
        <v>300</v>
      </c>
      <c r="G157">
        <v>6300</v>
      </c>
      <c r="H157" s="1">
        <v>5.8886904761904697</v>
      </c>
      <c r="I157" t="s">
        <v>47</v>
      </c>
    </row>
    <row r="158" spans="1:9">
      <c r="A158">
        <v>246</v>
      </c>
      <c r="B158" t="s">
        <v>16</v>
      </c>
      <c r="C158" t="s">
        <v>17</v>
      </c>
      <c r="D158" s="1">
        <v>37101.06</v>
      </c>
      <c r="E158">
        <v>975</v>
      </c>
      <c r="F158">
        <v>375</v>
      </c>
      <c r="G158">
        <v>7200</v>
      </c>
      <c r="H158" s="1">
        <v>5.1529249999999998</v>
      </c>
      <c r="I158" t="s">
        <v>47</v>
      </c>
    </row>
    <row r="159" spans="1:9">
      <c r="A159">
        <v>420</v>
      </c>
      <c r="B159" t="s">
        <v>16</v>
      </c>
      <c r="C159" t="s">
        <v>23</v>
      </c>
      <c r="D159">
        <v>37131.24</v>
      </c>
      <c r="E159">
        <v>950</v>
      </c>
      <c r="F159">
        <v>350</v>
      </c>
      <c r="G159">
        <v>7200</v>
      </c>
      <c r="H159" s="1">
        <v>5.1571166666666599</v>
      </c>
      <c r="I159" t="s">
        <v>47</v>
      </c>
    </row>
    <row r="160" spans="1:9">
      <c r="A160">
        <v>358</v>
      </c>
      <c r="B160" t="s">
        <v>16</v>
      </c>
      <c r="C160" t="s">
        <v>17</v>
      </c>
      <c r="D160">
        <v>37182</v>
      </c>
      <c r="E160">
        <v>950</v>
      </c>
      <c r="F160">
        <v>225</v>
      </c>
      <c r="G160">
        <v>8700</v>
      </c>
      <c r="H160" s="1">
        <v>4.2737931034482699</v>
      </c>
      <c r="I160" t="s">
        <v>49</v>
      </c>
    </row>
    <row r="161" spans="1:9">
      <c r="A161">
        <v>409</v>
      </c>
      <c r="B161" t="s">
        <v>16</v>
      </c>
      <c r="C161" t="s">
        <v>17</v>
      </c>
      <c r="D161">
        <v>37256.699999999997</v>
      </c>
      <c r="E161">
        <v>825</v>
      </c>
      <c r="F161">
        <v>300</v>
      </c>
      <c r="G161">
        <v>6300</v>
      </c>
      <c r="H161" s="1">
        <v>5.9137619047619001</v>
      </c>
      <c r="I161" t="s">
        <v>47</v>
      </c>
    </row>
    <row r="162" spans="1:9">
      <c r="A162">
        <v>161</v>
      </c>
      <c r="B162" t="s">
        <v>16</v>
      </c>
      <c r="C162" t="s">
        <v>10</v>
      </c>
      <c r="D162">
        <v>37293.300000000003</v>
      </c>
      <c r="E162">
        <v>975</v>
      </c>
      <c r="F162">
        <v>325</v>
      </c>
      <c r="G162">
        <v>7800</v>
      </c>
      <c r="H162" s="1">
        <v>4.7811923076923</v>
      </c>
      <c r="I162" t="s">
        <v>49</v>
      </c>
    </row>
    <row r="163" spans="1:9">
      <c r="A163">
        <v>191</v>
      </c>
      <c r="B163" t="s">
        <v>16</v>
      </c>
      <c r="C163" t="s">
        <v>17</v>
      </c>
      <c r="D163">
        <v>37345.32</v>
      </c>
      <c r="E163">
        <v>975</v>
      </c>
      <c r="F163">
        <v>225</v>
      </c>
      <c r="G163">
        <v>9000</v>
      </c>
      <c r="H163">
        <v>4.1494799999999996</v>
      </c>
      <c r="I163" t="s">
        <v>49</v>
      </c>
    </row>
    <row r="164" spans="1:9">
      <c r="A164">
        <v>97</v>
      </c>
      <c r="B164" t="s">
        <v>16</v>
      </c>
      <c r="C164" t="s">
        <v>10</v>
      </c>
      <c r="D164" s="1">
        <v>37352.699999999997</v>
      </c>
      <c r="E164">
        <v>825</v>
      </c>
      <c r="F164">
        <v>200</v>
      </c>
      <c r="G164">
        <v>7500</v>
      </c>
      <c r="H164" s="1">
        <v>4.9803600000000001</v>
      </c>
      <c r="I164" t="s">
        <v>49</v>
      </c>
    </row>
    <row r="165" spans="1:9">
      <c r="A165">
        <v>121</v>
      </c>
      <c r="B165" t="s">
        <v>16</v>
      </c>
      <c r="C165" t="s">
        <v>17</v>
      </c>
      <c r="D165">
        <v>37370.300000000003</v>
      </c>
      <c r="E165">
        <v>825</v>
      </c>
      <c r="F165">
        <v>325</v>
      </c>
      <c r="G165">
        <v>6000</v>
      </c>
      <c r="H165" s="1">
        <v>6.2283833333333298</v>
      </c>
      <c r="I165" t="s">
        <v>47</v>
      </c>
    </row>
    <row r="166" spans="1:9">
      <c r="A166">
        <v>120</v>
      </c>
      <c r="B166" t="s">
        <v>16</v>
      </c>
      <c r="C166" t="s">
        <v>17</v>
      </c>
      <c r="D166">
        <v>37476.6</v>
      </c>
      <c r="E166">
        <v>875</v>
      </c>
      <c r="F166">
        <v>275</v>
      </c>
      <c r="G166">
        <v>7200</v>
      </c>
      <c r="H166" s="1">
        <v>5.20508333333333</v>
      </c>
      <c r="I166" t="s">
        <v>47</v>
      </c>
    </row>
    <row r="167" spans="1:9">
      <c r="A167">
        <v>485</v>
      </c>
      <c r="B167" t="s">
        <v>16</v>
      </c>
      <c r="C167" t="s">
        <v>19</v>
      </c>
      <c r="D167">
        <v>37522.5</v>
      </c>
      <c r="E167">
        <v>975</v>
      </c>
      <c r="F167">
        <v>300</v>
      </c>
      <c r="G167">
        <v>8100</v>
      </c>
      <c r="H167" s="1">
        <v>4.6324074074074</v>
      </c>
      <c r="I167" t="s">
        <v>49</v>
      </c>
    </row>
    <row r="168" spans="1:9">
      <c r="A168">
        <v>382</v>
      </c>
      <c r="B168" t="s">
        <v>16</v>
      </c>
      <c r="C168" t="s">
        <v>17</v>
      </c>
      <c r="D168">
        <v>37566</v>
      </c>
      <c r="E168">
        <v>875</v>
      </c>
      <c r="F168">
        <v>275</v>
      </c>
      <c r="G168">
        <v>7200</v>
      </c>
      <c r="H168">
        <v>5.2175000000000002</v>
      </c>
      <c r="I168" t="s">
        <v>47</v>
      </c>
    </row>
    <row r="169" spans="1:9">
      <c r="A169">
        <v>108</v>
      </c>
      <c r="B169" t="s">
        <v>16</v>
      </c>
      <c r="C169" t="s">
        <v>15</v>
      </c>
      <c r="D169">
        <v>37694.910000000003</v>
      </c>
      <c r="E169">
        <v>875</v>
      </c>
      <c r="F169">
        <v>150</v>
      </c>
      <c r="G169">
        <v>8700</v>
      </c>
      <c r="H169">
        <v>4.3327482758620697</v>
      </c>
      <c r="I169" t="s">
        <v>49</v>
      </c>
    </row>
    <row r="170" spans="1:9">
      <c r="A170">
        <v>119</v>
      </c>
      <c r="B170" t="s">
        <v>16</v>
      </c>
      <c r="C170" t="s">
        <v>10</v>
      </c>
      <c r="D170">
        <v>37741.599999999999</v>
      </c>
      <c r="E170">
        <v>875</v>
      </c>
      <c r="F170">
        <v>200</v>
      </c>
      <c r="G170">
        <v>8100</v>
      </c>
      <c r="H170" s="1">
        <v>4.6594567901234498</v>
      </c>
      <c r="I170" t="s">
        <v>49</v>
      </c>
    </row>
    <row r="171" spans="1:9">
      <c r="A171">
        <v>354</v>
      </c>
      <c r="B171" t="s">
        <v>16</v>
      </c>
      <c r="C171" t="s">
        <v>17</v>
      </c>
      <c r="D171">
        <v>37770</v>
      </c>
      <c r="E171">
        <v>975</v>
      </c>
      <c r="F171">
        <v>275</v>
      </c>
      <c r="G171">
        <v>8400</v>
      </c>
      <c r="H171" s="1">
        <v>4.4964285714285701</v>
      </c>
      <c r="I171" t="s">
        <v>49</v>
      </c>
    </row>
    <row r="172" spans="1:9">
      <c r="A172">
        <v>263</v>
      </c>
      <c r="B172" t="s">
        <v>16</v>
      </c>
      <c r="C172" t="s">
        <v>17</v>
      </c>
      <c r="D172">
        <v>37775</v>
      </c>
      <c r="E172">
        <v>950</v>
      </c>
      <c r="F172">
        <v>150</v>
      </c>
      <c r="G172">
        <v>9600</v>
      </c>
      <c r="H172" s="1">
        <v>3.9348958333333299</v>
      </c>
      <c r="I172" t="s">
        <v>49</v>
      </c>
    </row>
    <row r="173" spans="1:9">
      <c r="A173">
        <v>11</v>
      </c>
      <c r="B173" t="s">
        <v>16</v>
      </c>
      <c r="C173" t="s">
        <v>17</v>
      </c>
      <c r="D173">
        <v>37827</v>
      </c>
      <c r="E173">
        <v>950</v>
      </c>
      <c r="F173">
        <v>350</v>
      </c>
      <c r="G173">
        <v>7200</v>
      </c>
      <c r="H173">
        <v>5.2537500000000001</v>
      </c>
      <c r="I173" t="s">
        <v>47</v>
      </c>
    </row>
    <row r="174" spans="1:9">
      <c r="A174">
        <v>412</v>
      </c>
      <c r="B174" t="s">
        <v>16</v>
      </c>
      <c r="C174" t="s">
        <v>23</v>
      </c>
      <c r="D174">
        <v>37924.589999999997</v>
      </c>
      <c r="E174">
        <v>875</v>
      </c>
      <c r="F174">
        <v>350</v>
      </c>
      <c r="G174">
        <v>6300</v>
      </c>
      <c r="H174">
        <v>6.0197761904761897</v>
      </c>
      <c r="I174" t="s">
        <v>47</v>
      </c>
    </row>
    <row r="175" spans="1:9">
      <c r="A175">
        <v>349</v>
      </c>
      <c r="B175" t="s">
        <v>16</v>
      </c>
      <c r="C175" t="s">
        <v>23</v>
      </c>
      <c r="D175">
        <v>37940.400000000001</v>
      </c>
      <c r="E175">
        <v>875</v>
      </c>
      <c r="F175">
        <v>375</v>
      </c>
      <c r="G175">
        <v>6000</v>
      </c>
      <c r="H175">
        <v>6.3234000000000004</v>
      </c>
      <c r="I175" t="s">
        <v>47</v>
      </c>
    </row>
    <row r="176" spans="1:9">
      <c r="A176">
        <v>98</v>
      </c>
      <c r="B176" t="s">
        <v>16</v>
      </c>
      <c r="C176" t="s">
        <v>10</v>
      </c>
      <c r="D176" s="1">
        <v>37945.199999999997</v>
      </c>
      <c r="E176">
        <v>975</v>
      </c>
      <c r="F176">
        <v>325</v>
      </c>
      <c r="G176">
        <v>7800</v>
      </c>
      <c r="H176" s="1">
        <v>4.8647692307692303</v>
      </c>
      <c r="I176" t="s">
        <v>49</v>
      </c>
    </row>
    <row r="177" spans="1:9">
      <c r="A177">
        <v>68</v>
      </c>
      <c r="B177" t="s">
        <v>16</v>
      </c>
      <c r="C177" t="s">
        <v>17</v>
      </c>
      <c r="D177">
        <v>37968.32</v>
      </c>
      <c r="E177">
        <v>825</v>
      </c>
      <c r="F177">
        <v>300</v>
      </c>
      <c r="G177">
        <v>6300</v>
      </c>
      <c r="H177">
        <v>6.0267174603174603</v>
      </c>
      <c r="I177" t="s">
        <v>47</v>
      </c>
    </row>
    <row r="178" spans="1:9">
      <c r="A178">
        <v>248</v>
      </c>
      <c r="B178" t="s">
        <v>16</v>
      </c>
      <c r="C178" t="s">
        <v>19</v>
      </c>
      <c r="D178">
        <v>38049.480000000003</v>
      </c>
      <c r="E178">
        <v>975</v>
      </c>
      <c r="F178">
        <v>325</v>
      </c>
      <c r="G178">
        <v>7800</v>
      </c>
      <c r="H178" s="1">
        <v>4.8781384615384598</v>
      </c>
      <c r="I178" t="s">
        <v>49</v>
      </c>
    </row>
    <row r="179" spans="1:9">
      <c r="A179">
        <v>353</v>
      </c>
      <c r="B179" t="s">
        <v>16</v>
      </c>
      <c r="C179" t="s">
        <v>19</v>
      </c>
      <c r="D179" s="1">
        <v>38110.799999999901</v>
      </c>
      <c r="E179">
        <v>950</v>
      </c>
      <c r="F179">
        <v>200</v>
      </c>
      <c r="G179">
        <v>9000</v>
      </c>
      <c r="H179" s="1">
        <v>4.2345333333333297</v>
      </c>
      <c r="I179" t="s">
        <v>49</v>
      </c>
    </row>
    <row r="180" spans="1:9">
      <c r="A180">
        <v>437</v>
      </c>
      <c r="B180" t="s">
        <v>16</v>
      </c>
      <c r="C180" t="s">
        <v>15</v>
      </c>
      <c r="D180">
        <v>38195.19</v>
      </c>
      <c r="E180">
        <v>950</v>
      </c>
      <c r="F180">
        <v>300</v>
      </c>
      <c r="G180">
        <v>7800</v>
      </c>
      <c r="H180" s="1">
        <v>4.8968192307692302</v>
      </c>
      <c r="I180" t="s">
        <v>49</v>
      </c>
    </row>
    <row r="181" spans="1:9">
      <c r="A181">
        <v>442</v>
      </c>
      <c r="B181" t="s">
        <v>16</v>
      </c>
      <c r="C181" t="s">
        <v>10</v>
      </c>
      <c r="D181">
        <v>38244.39</v>
      </c>
      <c r="E181">
        <v>975</v>
      </c>
      <c r="F181">
        <v>250</v>
      </c>
      <c r="G181">
        <v>8700</v>
      </c>
      <c r="H181" s="1">
        <v>4.3959068965517201</v>
      </c>
      <c r="I181" t="s">
        <v>49</v>
      </c>
    </row>
    <row r="182" spans="1:9">
      <c r="A182">
        <v>89</v>
      </c>
      <c r="B182" t="s">
        <v>16</v>
      </c>
      <c r="C182" t="s">
        <v>19</v>
      </c>
      <c r="D182">
        <v>38249.4</v>
      </c>
      <c r="E182">
        <v>875</v>
      </c>
      <c r="F182">
        <v>200</v>
      </c>
      <c r="G182">
        <v>8100</v>
      </c>
      <c r="H182" s="1">
        <v>4.7221481481481398</v>
      </c>
      <c r="I182" t="s">
        <v>49</v>
      </c>
    </row>
    <row r="183" spans="1:9">
      <c r="A183">
        <v>356</v>
      </c>
      <c r="B183" t="s">
        <v>16</v>
      </c>
      <c r="C183" t="s">
        <v>23</v>
      </c>
      <c r="D183" s="1">
        <v>38506.799999999901</v>
      </c>
      <c r="E183">
        <v>875</v>
      </c>
      <c r="F183">
        <v>400</v>
      </c>
      <c r="G183">
        <v>5700</v>
      </c>
      <c r="H183">
        <v>6.75557894736842</v>
      </c>
      <c r="I183" t="s">
        <v>47</v>
      </c>
    </row>
    <row r="184" spans="1:9">
      <c r="A184">
        <v>336</v>
      </c>
      <c r="B184" t="s">
        <v>16</v>
      </c>
      <c r="C184" t="s">
        <v>19</v>
      </c>
      <c r="D184">
        <v>38684.400000000001</v>
      </c>
      <c r="E184">
        <v>950</v>
      </c>
      <c r="F184">
        <v>300</v>
      </c>
      <c r="G184">
        <v>7800</v>
      </c>
      <c r="H184" s="1">
        <v>4.9595384615384601</v>
      </c>
      <c r="I184" t="s">
        <v>49</v>
      </c>
    </row>
    <row r="185" spans="1:9">
      <c r="A185">
        <v>462</v>
      </c>
      <c r="B185" t="s">
        <v>16</v>
      </c>
      <c r="C185" t="s">
        <v>17</v>
      </c>
      <c r="D185">
        <v>38717.5</v>
      </c>
      <c r="E185">
        <v>950</v>
      </c>
      <c r="F185">
        <v>300</v>
      </c>
      <c r="G185">
        <v>7800</v>
      </c>
      <c r="H185" s="1">
        <v>4.9637820512820499</v>
      </c>
      <c r="I185" t="s">
        <v>49</v>
      </c>
    </row>
    <row r="186" spans="1:9">
      <c r="A186">
        <v>267</v>
      </c>
      <c r="B186" t="s">
        <v>16</v>
      </c>
      <c r="C186" t="s">
        <v>19</v>
      </c>
      <c r="D186">
        <v>38785</v>
      </c>
      <c r="E186">
        <v>975</v>
      </c>
      <c r="F186">
        <v>350</v>
      </c>
      <c r="G186">
        <v>7500</v>
      </c>
      <c r="H186" s="1">
        <v>5.1713333333333296</v>
      </c>
      <c r="I186" t="s">
        <v>47</v>
      </c>
    </row>
    <row r="187" spans="1:9">
      <c r="A187">
        <v>270</v>
      </c>
      <c r="B187" t="s">
        <v>16</v>
      </c>
      <c r="C187" t="s">
        <v>17</v>
      </c>
      <c r="D187">
        <v>39086.25</v>
      </c>
      <c r="E187">
        <v>950</v>
      </c>
      <c r="F187">
        <v>350</v>
      </c>
      <c r="G187">
        <v>7200</v>
      </c>
      <c r="H187" s="1">
        <v>5.4286458333333298</v>
      </c>
      <c r="I187" t="s">
        <v>47</v>
      </c>
    </row>
    <row r="188" spans="1:9">
      <c r="A188">
        <v>375</v>
      </c>
      <c r="B188" t="s">
        <v>16</v>
      </c>
      <c r="C188" t="s">
        <v>19</v>
      </c>
      <c r="D188">
        <v>39402</v>
      </c>
      <c r="E188">
        <v>825</v>
      </c>
      <c r="F188">
        <v>150</v>
      </c>
      <c r="G188">
        <v>8100</v>
      </c>
      <c r="H188" s="1">
        <v>4.8644444444444401</v>
      </c>
      <c r="I188" t="s">
        <v>49</v>
      </c>
    </row>
    <row r="189" spans="1:9">
      <c r="A189">
        <v>389</v>
      </c>
      <c r="B189" t="s">
        <v>16</v>
      </c>
      <c r="C189" t="s">
        <v>17</v>
      </c>
      <c r="D189">
        <v>39584.400000000001</v>
      </c>
      <c r="E189">
        <v>825</v>
      </c>
      <c r="F189">
        <v>375</v>
      </c>
      <c r="G189">
        <v>5400</v>
      </c>
      <c r="H189" s="1">
        <v>7.3304444444444403</v>
      </c>
      <c r="I189" t="s">
        <v>47</v>
      </c>
    </row>
    <row r="190" spans="1:9">
      <c r="A190">
        <v>272</v>
      </c>
      <c r="B190" t="s">
        <v>16</v>
      </c>
      <c r="C190" t="s">
        <v>23</v>
      </c>
      <c r="D190">
        <v>39625</v>
      </c>
      <c r="E190">
        <v>975</v>
      </c>
      <c r="F190">
        <v>400</v>
      </c>
      <c r="G190">
        <v>6900</v>
      </c>
      <c r="H190" s="1">
        <v>5.7427536231884</v>
      </c>
      <c r="I190" t="s">
        <v>47</v>
      </c>
    </row>
    <row r="191" spans="1:9">
      <c r="A191">
        <v>169</v>
      </c>
      <c r="B191" t="s">
        <v>16</v>
      </c>
      <c r="C191" t="s">
        <v>10</v>
      </c>
      <c r="D191">
        <v>39719.160000000003</v>
      </c>
      <c r="E191">
        <v>975</v>
      </c>
      <c r="F191">
        <v>325</v>
      </c>
      <c r="G191">
        <v>7800</v>
      </c>
      <c r="H191">
        <v>5.0922000000000001</v>
      </c>
      <c r="I191" t="s">
        <v>47</v>
      </c>
    </row>
    <row r="192" spans="1:9">
      <c r="A192">
        <v>148</v>
      </c>
      <c r="B192" t="s">
        <v>16</v>
      </c>
      <c r="C192" t="s">
        <v>10</v>
      </c>
      <c r="D192">
        <v>39775.32</v>
      </c>
      <c r="E192">
        <v>975</v>
      </c>
      <c r="F192">
        <v>175</v>
      </c>
      <c r="G192">
        <v>9600</v>
      </c>
      <c r="H192">
        <v>4.1432624999999996</v>
      </c>
      <c r="I192" t="s">
        <v>49</v>
      </c>
    </row>
    <row r="193" spans="1:9">
      <c r="A193">
        <v>243</v>
      </c>
      <c r="B193" t="s">
        <v>16</v>
      </c>
      <c r="C193" t="s">
        <v>19</v>
      </c>
      <c r="D193" s="1">
        <v>39854.1</v>
      </c>
      <c r="E193">
        <v>825</v>
      </c>
      <c r="F193">
        <v>300</v>
      </c>
      <c r="G193">
        <v>6300</v>
      </c>
      <c r="H193">
        <v>6.3260476190476203</v>
      </c>
      <c r="I193" t="s">
        <v>47</v>
      </c>
    </row>
    <row r="194" spans="1:9">
      <c r="A194">
        <v>331</v>
      </c>
      <c r="B194" t="s">
        <v>16</v>
      </c>
      <c r="C194" t="s">
        <v>19</v>
      </c>
      <c r="D194" s="1">
        <v>39892.799999999901</v>
      </c>
      <c r="E194">
        <v>975</v>
      </c>
      <c r="F194">
        <v>225</v>
      </c>
      <c r="G194">
        <v>9000</v>
      </c>
      <c r="H194" s="1">
        <v>4.4325333333333301</v>
      </c>
      <c r="I194" t="s">
        <v>49</v>
      </c>
    </row>
    <row r="195" spans="1:9">
      <c r="A195">
        <v>490</v>
      </c>
      <c r="B195" t="s">
        <v>16</v>
      </c>
      <c r="C195" t="s">
        <v>17</v>
      </c>
      <c r="D195">
        <v>40152.5</v>
      </c>
      <c r="E195">
        <v>825</v>
      </c>
      <c r="F195">
        <v>325</v>
      </c>
      <c r="G195">
        <v>6000</v>
      </c>
      <c r="H195" s="1">
        <v>6.6920833333333301</v>
      </c>
      <c r="I195" t="s">
        <v>47</v>
      </c>
    </row>
    <row r="196" spans="1:9">
      <c r="A196">
        <v>143</v>
      </c>
      <c r="B196" t="s">
        <v>16</v>
      </c>
      <c r="C196" t="s">
        <v>17</v>
      </c>
      <c r="D196">
        <v>40195.440000000002</v>
      </c>
      <c r="E196">
        <v>875</v>
      </c>
      <c r="F196">
        <v>325</v>
      </c>
      <c r="G196">
        <v>6600</v>
      </c>
      <c r="H196" s="1">
        <v>6.0902181818181802</v>
      </c>
      <c r="I196" t="s">
        <v>47</v>
      </c>
    </row>
    <row r="197" spans="1:9">
      <c r="A197">
        <v>90</v>
      </c>
      <c r="B197" t="s">
        <v>16</v>
      </c>
      <c r="C197" t="s">
        <v>15</v>
      </c>
      <c r="D197" s="1">
        <v>40276.089999999997</v>
      </c>
      <c r="E197">
        <v>950</v>
      </c>
      <c r="F197">
        <v>350</v>
      </c>
      <c r="G197">
        <v>7200</v>
      </c>
      <c r="H197">
        <v>5.5939013888888898</v>
      </c>
      <c r="I197" t="s">
        <v>47</v>
      </c>
    </row>
    <row r="198" spans="1:9">
      <c r="A198">
        <v>80</v>
      </c>
      <c r="B198" t="s">
        <v>16</v>
      </c>
      <c r="C198" t="s">
        <v>19</v>
      </c>
      <c r="D198">
        <v>40431.300000000003</v>
      </c>
      <c r="E198">
        <v>875</v>
      </c>
      <c r="F198">
        <v>275</v>
      </c>
      <c r="G198">
        <v>7200</v>
      </c>
      <c r="H198" s="1">
        <v>5.6154583333333301</v>
      </c>
      <c r="I198" t="s">
        <v>47</v>
      </c>
    </row>
    <row r="199" spans="1:9">
      <c r="A199">
        <v>306</v>
      </c>
      <c r="B199" t="s">
        <v>16</v>
      </c>
      <c r="C199" t="s">
        <v>15</v>
      </c>
      <c r="D199">
        <v>40851.599999999999</v>
      </c>
      <c r="E199">
        <v>825</v>
      </c>
      <c r="F199">
        <v>150</v>
      </c>
      <c r="G199">
        <v>8100</v>
      </c>
      <c r="H199" s="1">
        <v>5.0434074074073996</v>
      </c>
      <c r="I199" t="s">
        <v>47</v>
      </c>
    </row>
    <row r="200" spans="1:9">
      <c r="A200">
        <v>100</v>
      </c>
      <c r="B200" t="s">
        <v>16</v>
      </c>
      <c r="C200" t="s">
        <v>23</v>
      </c>
      <c r="D200" s="1">
        <v>40964.559999999998</v>
      </c>
      <c r="E200">
        <v>875</v>
      </c>
      <c r="G200">
        <v>10500</v>
      </c>
      <c r="H200" s="1">
        <v>3.9013866666666601</v>
      </c>
      <c r="I200" t="s">
        <v>49</v>
      </c>
    </row>
    <row r="201" spans="1:9">
      <c r="A201">
        <v>309</v>
      </c>
      <c r="B201" t="s">
        <v>16</v>
      </c>
      <c r="C201" t="s">
        <v>23</v>
      </c>
      <c r="D201">
        <v>41137.199999999997</v>
      </c>
      <c r="E201">
        <v>875</v>
      </c>
      <c r="F201">
        <v>300</v>
      </c>
      <c r="G201">
        <v>6900</v>
      </c>
      <c r="H201">
        <v>5.9619130434782601</v>
      </c>
      <c r="I201" t="s">
        <v>47</v>
      </c>
    </row>
    <row r="202" spans="1:9">
      <c r="A202">
        <v>432</v>
      </c>
      <c r="B202" t="s">
        <v>16</v>
      </c>
      <c r="C202" t="s">
        <v>15</v>
      </c>
      <c r="D202">
        <v>41217.300000000003</v>
      </c>
      <c r="E202">
        <v>825</v>
      </c>
      <c r="F202">
        <v>275</v>
      </c>
      <c r="G202">
        <v>6600</v>
      </c>
      <c r="H202" s="1">
        <v>6.2450454545454503</v>
      </c>
      <c r="I202" t="s">
        <v>47</v>
      </c>
    </row>
    <row r="203" spans="1:9">
      <c r="A203">
        <v>346</v>
      </c>
      <c r="B203" t="s">
        <v>16</v>
      </c>
      <c r="C203" t="s">
        <v>23</v>
      </c>
      <c r="D203">
        <v>41354.400000000001</v>
      </c>
      <c r="E203">
        <v>875</v>
      </c>
      <c r="F203">
        <v>275</v>
      </c>
      <c r="G203">
        <v>7200</v>
      </c>
      <c r="H203" s="1">
        <v>5.7436666666666598</v>
      </c>
      <c r="I203" t="s">
        <v>47</v>
      </c>
    </row>
    <row r="204" spans="1:9">
      <c r="A204">
        <v>289</v>
      </c>
      <c r="B204" t="s">
        <v>16</v>
      </c>
      <c r="C204" t="s">
        <v>17</v>
      </c>
      <c r="D204">
        <v>41454</v>
      </c>
      <c r="E204">
        <v>875</v>
      </c>
      <c r="F204">
        <v>325</v>
      </c>
      <c r="G204">
        <v>6600</v>
      </c>
      <c r="H204" s="1">
        <v>6.2809090909090903</v>
      </c>
      <c r="I204" t="s">
        <v>47</v>
      </c>
    </row>
    <row r="205" spans="1:9">
      <c r="A205">
        <v>460</v>
      </c>
      <c r="B205" t="s">
        <v>16</v>
      </c>
      <c r="C205" t="s">
        <v>23</v>
      </c>
      <c r="D205">
        <v>41480.519999999997</v>
      </c>
      <c r="E205">
        <v>975</v>
      </c>
      <c r="F205">
        <v>150</v>
      </c>
      <c r="G205">
        <v>9900</v>
      </c>
      <c r="H205" s="1">
        <v>4.1899515151515097</v>
      </c>
      <c r="I205" t="s">
        <v>49</v>
      </c>
    </row>
    <row r="206" spans="1:9">
      <c r="A206">
        <v>231</v>
      </c>
      <c r="B206" t="s">
        <v>16</v>
      </c>
      <c r="C206" t="s">
        <v>23</v>
      </c>
      <c r="D206">
        <v>41497.94</v>
      </c>
      <c r="E206">
        <v>875</v>
      </c>
      <c r="F206">
        <v>250</v>
      </c>
      <c r="G206">
        <v>7500</v>
      </c>
      <c r="H206" s="1">
        <v>5.5330586666666601</v>
      </c>
      <c r="I206" t="s">
        <v>47</v>
      </c>
    </row>
    <row r="207" spans="1:9">
      <c r="A207">
        <v>387</v>
      </c>
      <c r="B207" t="s">
        <v>16</v>
      </c>
      <c r="C207" t="s">
        <v>23</v>
      </c>
      <c r="D207">
        <v>41523.599999999999</v>
      </c>
      <c r="E207">
        <v>875</v>
      </c>
      <c r="F207">
        <v>150</v>
      </c>
      <c r="G207">
        <v>8700</v>
      </c>
      <c r="H207" s="1">
        <v>4.7728275862068896</v>
      </c>
      <c r="I207" t="s">
        <v>49</v>
      </c>
    </row>
    <row r="208" spans="1:9">
      <c r="A208">
        <v>428</v>
      </c>
      <c r="B208" t="s">
        <v>16</v>
      </c>
      <c r="C208" t="s">
        <v>15</v>
      </c>
      <c r="D208">
        <v>41653.949999999997</v>
      </c>
      <c r="E208">
        <v>825</v>
      </c>
      <c r="F208">
        <v>225</v>
      </c>
      <c r="G208">
        <v>7200</v>
      </c>
      <c r="H208" s="1">
        <v>5.78527083333333</v>
      </c>
      <c r="I208" t="s">
        <v>47</v>
      </c>
    </row>
    <row r="209" spans="1:9">
      <c r="A209">
        <v>244</v>
      </c>
      <c r="B209" t="s">
        <v>16</v>
      </c>
      <c r="C209" t="s">
        <v>23</v>
      </c>
      <c r="D209">
        <v>41961.16</v>
      </c>
      <c r="E209">
        <v>975</v>
      </c>
      <c r="F209">
        <v>350</v>
      </c>
      <c r="G209">
        <v>7500</v>
      </c>
      <c r="H209" s="1">
        <v>5.5948213333333303</v>
      </c>
      <c r="I209" t="s">
        <v>47</v>
      </c>
    </row>
    <row r="210" spans="1:9">
      <c r="A210">
        <v>222</v>
      </c>
      <c r="B210" t="s">
        <v>16</v>
      </c>
      <c r="C210" t="s">
        <v>23</v>
      </c>
      <c r="D210" s="1">
        <v>41977.06</v>
      </c>
      <c r="E210">
        <v>825</v>
      </c>
      <c r="F210">
        <v>225</v>
      </c>
      <c r="G210">
        <v>7200</v>
      </c>
      <c r="H210" s="1">
        <v>5.8301472222222204</v>
      </c>
      <c r="I210" t="s">
        <v>47</v>
      </c>
    </row>
    <row r="211" spans="1:9">
      <c r="A211">
        <v>416</v>
      </c>
      <c r="B211" t="s">
        <v>16</v>
      </c>
      <c r="C211" t="s">
        <v>10</v>
      </c>
      <c r="D211">
        <v>42002.04</v>
      </c>
      <c r="E211">
        <v>875</v>
      </c>
      <c r="F211">
        <v>150</v>
      </c>
      <c r="G211">
        <v>8700</v>
      </c>
      <c r="H211" s="1">
        <v>4.8278206896551703</v>
      </c>
      <c r="I211" t="s">
        <v>49</v>
      </c>
    </row>
    <row r="212" spans="1:9">
      <c r="A212">
        <v>156</v>
      </c>
      <c r="B212" t="s">
        <v>16</v>
      </c>
      <c r="C212" t="s">
        <v>23</v>
      </c>
      <c r="D212">
        <v>42020</v>
      </c>
      <c r="E212">
        <v>825</v>
      </c>
      <c r="F212">
        <v>350</v>
      </c>
      <c r="G212">
        <v>5700</v>
      </c>
      <c r="H212" s="1">
        <v>7.3719298245614002</v>
      </c>
      <c r="I212" t="s">
        <v>47</v>
      </c>
    </row>
    <row r="213" spans="1:9">
      <c r="A213">
        <v>186</v>
      </c>
      <c r="B213" t="s">
        <v>16</v>
      </c>
      <c r="C213" t="s">
        <v>17</v>
      </c>
      <c r="D213">
        <v>42161.04</v>
      </c>
      <c r="E213">
        <v>975</v>
      </c>
      <c r="F213">
        <v>300</v>
      </c>
      <c r="G213">
        <v>8100</v>
      </c>
      <c r="H213" s="1">
        <v>5.2050666666666601</v>
      </c>
      <c r="I213" t="s">
        <v>47</v>
      </c>
    </row>
    <row r="214" spans="1:9">
      <c r="A214">
        <v>237</v>
      </c>
      <c r="B214" t="s">
        <v>16</v>
      </c>
      <c r="C214" t="s">
        <v>19</v>
      </c>
      <c r="D214" s="1">
        <v>42262.559999999998</v>
      </c>
      <c r="E214">
        <v>950</v>
      </c>
      <c r="F214">
        <v>275</v>
      </c>
      <c r="G214">
        <v>8100</v>
      </c>
      <c r="H214" s="1">
        <v>5.2176</v>
      </c>
      <c r="I214" t="s">
        <v>47</v>
      </c>
    </row>
    <row r="215" spans="1:9">
      <c r="A215">
        <v>360</v>
      </c>
      <c r="B215" t="s">
        <v>16</v>
      </c>
      <c r="C215" t="s">
        <v>17</v>
      </c>
      <c r="D215">
        <v>42669.599999999999</v>
      </c>
      <c r="E215">
        <v>875</v>
      </c>
      <c r="F215">
        <v>175</v>
      </c>
      <c r="G215">
        <v>8400</v>
      </c>
      <c r="H215" s="1">
        <v>5.0797142857142799</v>
      </c>
      <c r="I215" t="s">
        <v>47</v>
      </c>
    </row>
    <row r="216" spans="1:9">
      <c r="A216">
        <v>499</v>
      </c>
      <c r="B216" t="s">
        <v>16</v>
      </c>
      <c r="C216" t="s">
        <v>23</v>
      </c>
      <c r="D216">
        <v>42772.5</v>
      </c>
      <c r="E216">
        <v>825</v>
      </c>
      <c r="F216">
        <v>325</v>
      </c>
      <c r="G216">
        <v>6000</v>
      </c>
      <c r="H216">
        <v>7.1287500000000001</v>
      </c>
      <c r="I216" t="s">
        <v>47</v>
      </c>
    </row>
    <row r="217" spans="1:9">
      <c r="A217">
        <v>378</v>
      </c>
      <c r="B217" t="s">
        <v>16</v>
      </c>
      <c r="C217" t="s">
        <v>15</v>
      </c>
      <c r="D217">
        <v>42788.4</v>
      </c>
      <c r="E217">
        <v>825</v>
      </c>
      <c r="F217">
        <v>350</v>
      </c>
      <c r="G217">
        <v>5700</v>
      </c>
      <c r="H217" s="1">
        <v>7.5067368421052603</v>
      </c>
      <c r="I217" t="s">
        <v>47</v>
      </c>
    </row>
    <row r="218" spans="1:9">
      <c r="A218">
        <v>135</v>
      </c>
      <c r="B218" t="s">
        <v>16</v>
      </c>
      <c r="C218" t="s">
        <v>23</v>
      </c>
      <c r="D218">
        <v>42961.32</v>
      </c>
      <c r="E218">
        <v>825</v>
      </c>
      <c r="F218">
        <v>275</v>
      </c>
      <c r="G218">
        <v>6600</v>
      </c>
      <c r="H218" s="1">
        <v>6.5092909090909004</v>
      </c>
      <c r="I218" t="s">
        <v>47</v>
      </c>
    </row>
    <row r="219" spans="1:9">
      <c r="A219">
        <v>481</v>
      </c>
      <c r="B219" t="s">
        <v>16</v>
      </c>
      <c r="C219" t="s">
        <v>23</v>
      </c>
      <c r="D219">
        <v>43270</v>
      </c>
      <c r="E219">
        <v>950</v>
      </c>
      <c r="F219">
        <v>275</v>
      </c>
      <c r="G219">
        <v>8100</v>
      </c>
      <c r="H219" s="1">
        <v>5.3419753086419703</v>
      </c>
      <c r="I219" t="s">
        <v>47</v>
      </c>
    </row>
    <row r="220" spans="1:9">
      <c r="A220">
        <v>430</v>
      </c>
      <c r="B220" t="s">
        <v>16</v>
      </c>
      <c r="C220" t="s">
        <v>23</v>
      </c>
      <c r="D220" s="1">
        <v>43512.479999999901</v>
      </c>
      <c r="E220">
        <v>950</v>
      </c>
      <c r="F220">
        <v>200</v>
      </c>
      <c r="G220">
        <v>9000</v>
      </c>
      <c r="H220">
        <v>4.8347199999999999</v>
      </c>
      <c r="I220" t="s">
        <v>49</v>
      </c>
    </row>
    <row r="221" spans="1:9">
      <c r="A221">
        <v>273</v>
      </c>
      <c r="B221" t="s">
        <v>16</v>
      </c>
      <c r="C221" t="s">
        <v>15</v>
      </c>
      <c r="D221">
        <v>43681.25</v>
      </c>
      <c r="E221">
        <v>825</v>
      </c>
      <c r="F221">
        <v>325</v>
      </c>
      <c r="G221">
        <v>6000</v>
      </c>
      <c r="H221" s="1">
        <v>7.2802083333333298</v>
      </c>
      <c r="I221" t="s">
        <v>47</v>
      </c>
    </row>
    <row r="222" spans="1:9">
      <c r="A222">
        <v>338</v>
      </c>
      <c r="B222" t="s">
        <v>16</v>
      </c>
      <c r="C222" t="s">
        <v>17</v>
      </c>
      <c r="D222" s="1">
        <v>43828.799999999901</v>
      </c>
      <c r="E222">
        <v>825</v>
      </c>
      <c r="F222">
        <v>175</v>
      </c>
      <c r="G222">
        <v>7800</v>
      </c>
      <c r="H222" s="1">
        <v>5.6190769230769204</v>
      </c>
      <c r="I222" t="s">
        <v>47</v>
      </c>
    </row>
    <row r="223" spans="1:9">
      <c r="A223">
        <v>363</v>
      </c>
      <c r="B223" t="s">
        <v>16</v>
      </c>
      <c r="C223" t="s">
        <v>19</v>
      </c>
      <c r="D223">
        <v>44119.199999999997</v>
      </c>
      <c r="E223">
        <v>975</v>
      </c>
      <c r="F223">
        <v>275</v>
      </c>
      <c r="G223">
        <v>8400</v>
      </c>
      <c r="H223" s="1">
        <v>5.2522857142857102</v>
      </c>
      <c r="I223" t="s">
        <v>47</v>
      </c>
    </row>
    <row r="224" spans="1:9">
      <c r="A224">
        <v>495</v>
      </c>
      <c r="B224" t="s">
        <v>16</v>
      </c>
      <c r="C224" t="s">
        <v>19</v>
      </c>
      <c r="D224">
        <v>44121.25</v>
      </c>
      <c r="E224">
        <v>825</v>
      </c>
      <c r="F224">
        <v>275</v>
      </c>
      <c r="G224">
        <v>6600</v>
      </c>
      <c r="H224" s="1">
        <v>6.6850378787878704</v>
      </c>
      <c r="I224" t="s">
        <v>47</v>
      </c>
    </row>
    <row r="225" spans="1:9">
      <c r="A225">
        <v>275</v>
      </c>
      <c r="B225" t="s">
        <v>16</v>
      </c>
      <c r="C225" t="s">
        <v>19</v>
      </c>
      <c r="D225">
        <v>44290</v>
      </c>
      <c r="E225">
        <v>875</v>
      </c>
      <c r="F225">
        <v>200</v>
      </c>
      <c r="G225">
        <v>8100</v>
      </c>
      <c r="H225" s="1">
        <v>5.4679012345678997</v>
      </c>
      <c r="I225" t="s">
        <v>47</v>
      </c>
    </row>
    <row r="226" spans="1:9">
      <c r="A226">
        <v>494</v>
      </c>
      <c r="B226" t="s">
        <v>16</v>
      </c>
      <c r="C226" t="s">
        <v>17</v>
      </c>
      <c r="D226">
        <v>44408.75</v>
      </c>
      <c r="E226">
        <v>975</v>
      </c>
      <c r="G226">
        <v>11700</v>
      </c>
      <c r="H226" s="1">
        <v>3.7956196581196502</v>
      </c>
      <c r="I226" t="s">
        <v>49</v>
      </c>
    </row>
    <row r="227" spans="1:9">
      <c r="A227">
        <v>279</v>
      </c>
      <c r="B227" t="s">
        <v>16</v>
      </c>
      <c r="C227" t="s">
        <v>23</v>
      </c>
      <c r="D227">
        <v>45005.2</v>
      </c>
      <c r="E227">
        <v>950</v>
      </c>
      <c r="F227">
        <v>150</v>
      </c>
      <c r="G227">
        <v>9600</v>
      </c>
      <c r="H227" s="1">
        <v>4.6880416666666598</v>
      </c>
      <c r="I227" t="s">
        <v>49</v>
      </c>
    </row>
    <row r="228" spans="1:9">
      <c r="A228">
        <v>395</v>
      </c>
      <c r="B228" t="s">
        <v>16</v>
      </c>
      <c r="C228" t="s">
        <v>19</v>
      </c>
      <c r="D228">
        <v>45291.6</v>
      </c>
      <c r="E228">
        <v>975</v>
      </c>
      <c r="F228">
        <v>350</v>
      </c>
      <c r="G228">
        <v>7500</v>
      </c>
      <c r="H228">
        <v>6.0388799999999998</v>
      </c>
      <c r="I228" t="s">
        <v>47</v>
      </c>
    </row>
    <row r="229" spans="1:9">
      <c r="A229">
        <v>1</v>
      </c>
      <c r="B229" t="s">
        <v>9</v>
      </c>
      <c r="C229" t="s">
        <v>15</v>
      </c>
      <c r="D229">
        <v>45713</v>
      </c>
      <c r="E229">
        <v>950</v>
      </c>
      <c r="F229">
        <v>325</v>
      </c>
      <c r="G229">
        <v>7500</v>
      </c>
      <c r="H229" s="1">
        <v>6.0950666666666597</v>
      </c>
      <c r="I229" t="s">
        <v>47</v>
      </c>
    </row>
    <row r="230" spans="1:9">
      <c r="A230">
        <v>366</v>
      </c>
      <c r="B230" t="s">
        <v>16</v>
      </c>
      <c r="C230" t="s">
        <v>19</v>
      </c>
      <c r="D230" s="1">
        <v>46180.799999999901</v>
      </c>
      <c r="E230">
        <v>875</v>
      </c>
      <c r="F230">
        <v>350</v>
      </c>
      <c r="G230">
        <v>6300</v>
      </c>
      <c r="H230" s="1">
        <v>7.3302857142857096</v>
      </c>
      <c r="I230" t="s">
        <v>47</v>
      </c>
    </row>
    <row r="231" spans="1:9">
      <c r="A231">
        <v>329</v>
      </c>
      <c r="B231" t="s">
        <v>16</v>
      </c>
      <c r="C231" t="s">
        <v>10</v>
      </c>
      <c r="D231" s="1">
        <v>46294.799999999901</v>
      </c>
      <c r="E231">
        <v>950</v>
      </c>
      <c r="F231">
        <v>350</v>
      </c>
      <c r="G231">
        <v>7200</v>
      </c>
      <c r="H231" s="1">
        <v>6.4298333333333302</v>
      </c>
      <c r="I231" t="s">
        <v>47</v>
      </c>
    </row>
    <row r="232" spans="1:9">
      <c r="A232">
        <v>447</v>
      </c>
      <c r="B232" t="s">
        <v>16</v>
      </c>
      <c r="C232" t="s">
        <v>23</v>
      </c>
      <c r="D232">
        <v>46390.68</v>
      </c>
      <c r="E232">
        <v>950</v>
      </c>
      <c r="F232">
        <v>250</v>
      </c>
      <c r="G232">
        <v>8400</v>
      </c>
      <c r="H232">
        <v>5.5227000000000004</v>
      </c>
      <c r="I232" t="s">
        <v>47</v>
      </c>
    </row>
    <row r="233" spans="1:9">
      <c r="A233">
        <v>294</v>
      </c>
      <c r="B233" t="s">
        <v>16</v>
      </c>
      <c r="C233" t="s">
        <v>23</v>
      </c>
      <c r="D233" s="1">
        <v>46504.799999999901</v>
      </c>
      <c r="E233">
        <v>825</v>
      </c>
      <c r="F233">
        <v>175</v>
      </c>
      <c r="G233">
        <v>7800</v>
      </c>
      <c r="H233" s="1">
        <v>5.9621538461538401</v>
      </c>
      <c r="I233" t="s">
        <v>47</v>
      </c>
    </row>
    <row r="234" spans="1:9">
      <c r="A234">
        <v>381</v>
      </c>
      <c r="B234" t="s">
        <v>16</v>
      </c>
      <c r="C234" t="s">
        <v>19</v>
      </c>
      <c r="D234">
        <v>46520.4</v>
      </c>
      <c r="E234">
        <v>875</v>
      </c>
      <c r="F234">
        <v>350</v>
      </c>
      <c r="G234">
        <v>6300</v>
      </c>
      <c r="H234" s="1">
        <v>7.3841904761904704</v>
      </c>
      <c r="I234" t="s">
        <v>47</v>
      </c>
    </row>
    <row r="235" spans="1:9">
      <c r="A235">
        <v>441</v>
      </c>
      <c r="B235" t="s">
        <v>16</v>
      </c>
      <c r="C235" t="s">
        <v>17</v>
      </c>
      <c r="D235">
        <v>46593.63</v>
      </c>
      <c r="E235">
        <v>825</v>
      </c>
      <c r="F235">
        <v>175</v>
      </c>
      <c r="G235">
        <v>7800</v>
      </c>
      <c r="H235" s="1">
        <v>5.9735423076923002</v>
      </c>
      <c r="I235" t="s">
        <v>47</v>
      </c>
    </row>
    <row r="236" spans="1:9">
      <c r="A236">
        <v>493</v>
      </c>
      <c r="B236" t="s">
        <v>16</v>
      </c>
      <c r="C236" t="s">
        <v>23</v>
      </c>
      <c r="D236">
        <v>46676.25</v>
      </c>
      <c r="E236">
        <v>950</v>
      </c>
      <c r="F236">
        <v>250</v>
      </c>
      <c r="G236">
        <v>8400</v>
      </c>
      <c r="H236" s="1">
        <v>5.5566964285714198</v>
      </c>
      <c r="I236" t="s">
        <v>47</v>
      </c>
    </row>
    <row r="237" spans="1:9">
      <c r="A237">
        <v>293</v>
      </c>
      <c r="B237" t="s">
        <v>16</v>
      </c>
      <c r="C237" t="s">
        <v>23</v>
      </c>
      <c r="D237">
        <v>46802.400000000001</v>
      </c>
      <c r="E237">
        <v>825</v>
      </c>
      <c r="F237">
        <v>325</v>
      </c>
      <c r="G237">
        <v>6000</v>
      </c>
      <c r="H237" s="1">
        <v>7.8003999999999998</v>
      </c>
      <c r="I237" t="s">
        <v>47</v>
      </c>
    </row>
    <row r="238" spans="1:9">
      <c r="A238">
        <v>467</v>
      </c>
      <c r="B238" t="s">
        <v>16</v>
      </c>
      <c r="C238" t="s">
        <v>23</v>
      </c>
      <c r="D238">
        <v>47280</v>
      </c>
      <c r="E238">
        <v>875</v>
      </c>
      <c r="F238">
        <v>200</v>
      </c>
      <c r="G238">
        <v>8100</v>
      </c>
      <c r="H238" s="1">
        <v>5.8370370370370299</v>
      </c>
      <c r="I238" t="s">
        <v>47</v>
      </c>
    </row>
    <row r="239" spans="1:9">
      <c r="A239">
        <v>429</v>
      </c>
      <c r="B239" t="s">
        <v>16</v>
      </c>
      <c r="C239" t="s">
        <v>23</v>
      </c>
      <c r="D239">
        <v>47533.35</v>
      </c>
      <c r="E239">
        <v>875</v>
      </c>
      <c r="F239">
        <v>325</v>
      </c>
      <c r="G239">
        <v>6600</v>
      </c>
      <c r="H239" s="1">
        <v>7.2020227272727197</v>
      </c>
      <c r="I239" t="s">
        <v>47</v>
      </c>
    </row>
    <row r="240" spans="1:9">
      <c r="A240">
        <v>444</v>
      </c>
      <c r="B240" t="s">
        <v>16</v>
      </c>
      <c r="C240" t="s">
        <v>10</v>
      </c>
      <c r="D240">
        <v>47862.99</v>
      </c>
      <c r="E240">
        <v>950</v>
      </c>
      <c r="F240">
        <v>375</v>
      </c>
      <c r="G240">
        <v>6900</v>
      </c>
      <c r="H240" s="1">
        <v>6.9366652173913002</v>
      </c>
      <c r="I240" t="s">
        <v>47</v>
      </c>
    </row>
    <row r="241" spans="1:9">
      <c r="A241">
        <v>448</v>
      </c>
      <c r="B241" t="s">
        <v>16</v>
      </c>
      <c r="C241" t="s">
        <v>23</v>
      </c>
      <c r="D241">
        <v>48842.07</v>
      </c>
      <c r="E241">
        <v>975</v>
      </c>
      <c r="F241">
        <v>350</v>
      </c>
      <c r="G241">
        <v>7500</v>
      </c>
      <c r="H241">
        <v>6.512276</v>
      </c>
      <c r="I241" t="s">
        <v>47</v>
      </c>
    </row>
    <row r="242" spans="1:9">
      <c r="A242">
        <v>461</v>
      </c>
      <c r="B242" t="s">
        <v>16</v>
      </c>
      <c r="C242" t="s">
        <v>23</v>
      </c>
      <c r="D242">
        <v>48907.26</v>
      </c>
      <c r="E242">
        <v>975</v>
      </c>
      <c r="F242">
        <v>200</v>
      </c>
      <c r="G242">
        <v>9300</v>
      </c>
      <c r="H242" s="1">
        <v>5.2588451612903198</v>
      </c>
      <c r="I242" t="s">
        <v>47</v>
      </c>
    </row>
    <row r="243" spans="1:9">
      <c r="A243">
        <v>470</v>
      </c>
      <c r="B243" t="s">
        <v>16</v>
      </c>
      <c r="C243" t="s">
        <v>15</v>
      </c>
      <c r="D243">
        <v>49023.75</v>
      </c>
      <c r="E243">
        <v>875</v>
      </c>
      <c r="F243">
        <v>200</v>
      </c>
      <c r="G243">
        <v>8100</v>
      </c>
      <c r="H243" s="1">
        <v>6.0523148148148103</v>
      </c>
      <c r="I243" t="s">
        <v>47</v>
      </c>
    </row>
    <row r="244" spans="1:9">
      <c r="A244">
        <v>455</v>
      </c>
      <c r="B244" t="s">
        <v>16</v>
      </c>
      <c r="C244" t="s">
        <v>17</v>
      </c>
      <c r="D244">
        <v>49142.19</v>
      </c>
      <c r="E244">
        <v>875</v>
      </c>
      <c r="G244">
        <v>10500</v>
      </c>
      <c r="H244" s="1">
        <v>4.6802085714285697</v>
      </c>
      <c r="I244" t="s">
        <v>49</v>
      </c>
    </row>
    <row r="245" spans="1:9">
      <c r="A245">
        <v>37</v>
      </c>
      <c r="B245" t="s">
        <v>9</v>
      </c>
      <c r="C245" t="s">
        <v>17</v>
      </c>
      <c r="D245">
        <v>82096</v>
      </c>
      <c r="E245">
        <v>975</v>
      </c>
      <c r="F245">
        <v>250</v>
      </c>
      <c r="G245">
        <v>8700</v>
      </c>
      <c r="H245">
        <v>9.4363218390804597</v>
      </c>
      <c r="I245" t="s">
        <v>47</v>
      </c>
    </row>
    <row r="246" spans="1:9">
      <c r="A246">
        <v>7</v>
      </c>
      <c r="B246" t="s">
        <v>9</v>
      </c>
      <c r="C246" t="s">
        <v>10</v>
      </c>
      <c r="D246">
        <v>82296</v>
      </c>
      <c r="E246">
        <v>875</v>
      </c>
      <c r="F246">
        <v>250</v>
      </c>
      <c r="G246">
        <v>7500</v>
      </c>
      <c r="H246">
        <v>10.972799999999999</v>
      </c>
      <c r="I246" t="s">
        <v>48</v>
      </c>
    </row>
    <row r="247" spans="1:9">
      <c r="A247">
        <v>109</v>
      </c>
      <c r="B247" t="s">
        <v>20</v>
      </c>
      <c r="C247" t="s">
        <v>15</v>
      </c>
      <c r="D247">
        <v>82589.52</v>
      </c>
      <c r="E247">
        <v>875</v>
      </c>
      <c r="F247">
        <v>400</v>
      </c>
      <c r="G247">
        <v>5700</v>
      </c>
      <c r="H247" s="1">
        <v>14.4893894736842</v>
      </c>
      <c r="I247" t="s">
        <v>48</v>
      </c>
    </row>
    <row r="248" spans="1:9">
      <c r="A248">
        <v>110</v>
      </c>
      <c r="B248" t="s">
        <v>9</v>
      </c>
      <c r="C248" t="s">
        <v>23</v>
      </c>
      <c r="D248">
        <v>83491.8</v>
      </c>
      <c r="E248">
        <v>950</v>
      </c>
      <c r="F248">
        <v>400</v>
      </c>
      <c r="G248">
        <v>6600</v>
      </c>
      <c r="H248" s="1">
        <v>12.6502727272727</v>
      </c>
      <c r="I248" t="s">
        <v>48</v>
      </c>
    </row>
    <row r="249" spans="1:9">
      <c r="A249">
        <v>73</v>
      </c>
      <c r="B249" t="s">
        <v>9</v>
      </c>
      <c r="C249" t="s">
        <v>15</v>
      </c>
      <c r="D249">
        <v>84035.7</v>
      </c>
      <c r="E249">
        <v>950</v>
      </c>
      <c r="F249">
        <v>375</v>
      </c>
      <c r="G249">
        <v>6900</v>
      </c>
      <c r="H249" s="1">
        <v>12.179086956521701</v>
      </c>
      <c r="I249" t="s">
        <v>48</v>
      </c>
    </row>
    <row r="250" spans="1:9">
      <c r="A250">
        <v>40</v>
      </c>
      <c r="B250" t="s">
        <v>9</v>
      </c>
      <c r="C250" t="s">
        <v>15</v>
      </c>
      <c r="D250">
        <v>85397.52</v>
      </c>
      <c r="E250">
        <v>875</v>
      </c>
      <c r="F250">
        <v>175</v>
      </c>
      <c r="G250">
        <v>8400</v>
      </c>
      <c r="H250" s="1">
        <v>10.1663714285714</v>
      </c>
      <c r="I250" t="s">
        <v>48</v>
      </c>
    </row>
    <row r="251" spans="1:9">
      <c r="A251">
        <v>64</v>
      </c>
      <c r="B251" t="s">
        <v>9</v>
      </c>
      <c r="C251" t="s">
        <v>10</v>
      </c>
      <c r="D251">
        <v>85485.92</v>
      </c>
      <c r="E251">
        <v>975</v>
      </c>
      <c r="F251">
        <v>225</v>
      </c>
      <c r="G251">
        <v>9000</v>
      </c>
      <c r="H251" s="1">
        <v>9.4984355555555506</v>
      </c>
      <c r="I251" t="s">
        <v>47</v>
      </c>
    </row>
    <row r="252" spans="1:9">
      <c r="A252">
        <v>139</v>
      </c>
      <c r="B252" t="s">
        <v>20</v>
      </c>
      <c r="C252" t="s">
        <v>23</v>
      </c>
      <c r="D252">
        <v>85658.6</v>
      </c>
      <c r="E252">
        <v>975</v>
      </c>
      <c r="F252">
        <v>425</v>
      </c>
      <c r="G252">
        <v>6600</v>
      </c>
      <c r="H252" s="1">
        <v>12.978575757575699</v>
      </c>
      <c r="I252" t="s">
        <v>48</v>
      </c>
    </row>
    <row r="253" spans="1:9">
      <c r="A253">
        <v>71</v>
      </c>
      <c r="B253" t="s">
        <v>9</v>
      </c>
      <c r="C253" t="s">
        <v>23</v>
      </c>
      <c r="D253">
        <v>85768.1</v>
      </c>
      <c r="E253">
        <v>950</v>
      </c>
      <c r="F253">
        <v>200</v>
      </c>
      <c r="G253">
        <v>9000</v>
      </c>
      <c r="H253">
        <v>9.5297888888888895</v>
      </c>
      <c r="I253" t="s">
        <v>47</v>
      </c>
    </row>
    <row r="254" spans="1:9">
      <c r="A254">
        <v>129</v>
      </c>
      <c r="B254" t="s">
        <v>9</v>
      </c>
      <c r="C254" t="s">
        <v>23</v>
      </c>
      <c r="D254">
        <v>85940.56</v>
      </c>
      <c r="E254">
        <v>875</v>
      </c>
      <c r="F254">
        <v>400</v>
      </c>
      <c r="G254">
        <v>5700</v>
      </c>
      <c r="H254" s="1">
        <v>15.0772912280701</v>
      </c>
      <c r="I254" t="s">
        <v>48</v>
      </c>
    </row>
    <row r="255" spans="1:9">
      <c r="A255">
        <v>154</v>
      </c>
      <c r="B255" t="s">
        <v>20</v>
      </c>
      <c r="C255" t="s">
        <v>23</v>
      </c>
      <c r="D255">
        <v>86344.42</v>
      </c>
      <c r="E255">
        <v>1050</v>
      </c>
      <c r="F255">
        <v>300</v>
      </c>
      <c r="G255">
        <v>9000</v>
      </c>
      <c r="H255" s="1">
        <v>9.59382444444444</v>
      </c>
      <c r="I255" t="s">
        <v>47</v>
      </c>
    </row>
    <row r="256" spans="1:9">
      <c r="A256">
        <v>62</v>
      </c>
      <c r="B256" t="s">
        <v>9</v>
      </c>
      <c r="C256" t="s">
        <v>17</v>
      </c>
      <c r="D256" s="1">
        <v>86864.4</v>
      </c>
      <c r="E256">
        <v>975</v>
      </c>
      <c r="F256">
        <v>300</v>
      </c>
      <c r="G256">
        <v>8100</v>
      </c>
      <c r="H256">
        <v>10.724</v>
      </c>
      <c r="I256" t="s">
        <v>48</v>
      </c>
    </row>
    <row r="257" spans="1:9">
      <c r="A257">
        <v>104</v>
      </c>
      <c r="B257" t="s">
        <v>9</v>
      </c>
      <c r="C257" t="s">
        <v>10</v>
      </c>
      <c r="D257">
        <v>86905.52</v>
      </c>
      <c r="E257">
        <v>875</v>
      </c>
      <c r="F257">
        <v>250</v>
      </c>
      <c r="G257">
        <v>7500</v>
      </c>
      <c r="H257" s="1">
        <v>11.5874026666666</v>
      </c>
      <c r="I257" t="s">
        <v>48</v>
      </c>
    </row>
    <row r="258" spans="1:9">
      <c r="A258">
        <v>190</v>
      </c>
      <c r="B258" t="s">
        <v>20</v>
      </c>
      <c r="C258" t="s">
        <v>23</v>
      </c>
      <c r="D258">
        <v>87276.160000000003</v>
      </c>
      <c r="E258">
        <v>950</v>
      </c>
      <c r="F258">
        <v>300</v>
      </c>
      <c r="G258">
        <v>7800</v>
      </c>
      <c r="H258" s="1">
        <v>11.189251282051201</v>
      </c>
      <c r="I258" t="s">
        <v>48</v>
      </c>
    </row>
    <row r="259" spans="1:9">
      <c r="A259">
        <v>158</v>
      </c>
      <c r="B259" t="s">
        <v>9</v>
      </c>
      <c r="C259" t="s">
        <v>15</v>
      </c>
      <c r="D259" s="1">
        <v>87548.04</v>
      </c>
      <c r="E259">
        <v>825</v>
      </c>
      <c r="F259">
        <v>375</v>
      </c>
      <c r="G259">
        <v>5400</v>
      </c>
      <c r="H259" s="1">
        <v>16.212599999999998</v>
      </c>
      <c r="I259" t="s">
        <v>48</v>
      </c>
    </row>
    <row r="260" spans="1:9">
      <c r="A260">
        <v>8</v>
      </c>
      <c r="B260" t="s">
        <v>9</v>
      </c>
      <c r="C260" t="s">
        <v>10</v>
      </c>
      <c r="D260">
        <v>87868</v>
      </c>
      <c r="E260">
        <v>975</v>
      </c>
      <c r="F260">
        <v>375</v>
      </c>
      <c r="G260">
        <v>7200</v>
      </c>
      <c r="H260" s="1">
        <v>12.2038888888888</v>
      </c>
      <c r="I260" t="s">
        <v>48</v>
      </c>
    </row>
    <row r="261" spans="1:9">
      <c r="A261">
        <v>2</v>
      </c>
      <c r="B261" t="s">
        <v>9</v>
      </c>
      <c r="C261" t="s">
        <v>10</v>
      </c>
      <c r="D261">
        <v>87959</v>
      </c>
      <c r="E261">
        <v>875</v>
      </c>
      <c r="F261">
        <v>300</v>
      </c>
      <c r="G261">
        <v>6900</v>
      </c>
      <c r="H261" s="1">
        <v>12.7476811594202</v>
      </c>
      <c r="I261" t="s">
        <v>48</v>
      </c>
    </row>
    <row r="262" spans="1:9">
      <c r="A262">
        <v>84</v>
      </c>
      <c r="B262" t="s">
        <v>9</v>
      </c>
      <c r="C262" t="s">
        <v>15</v>
      </c>
      <c r="D262">
        <v>88603.839999999997</v>
      </c>
      <c r="E262">
        <v>975</v>
      </c>
      <c r="F262">
        <v>325</v>
      </c>
      <c r="G262">
        <v>7800</v>
      </c>
      <c r="H262" s="1">
        <v>11.3594666666666</v>
      </c>
      <c r="I262" t="s">
        <v>48</v>
      </c>
    </row>
    <row r="263" spans="1:9">
      <c r="A263">
        <v>216</v>
      </c>
      <c r="B263" t="s">
        <v>9</v>
      </c>
      <c r="C263" t="s">
        <v>10</v>
      </c>
      <c r="D263">
        <v>88853.440000000002</v>
      </c>
      <c r="E263">
        <v>950</v>
      </c>
      <c r="F263">
        <v>400</v>
      </c>
      <c r="G263">
        <v>6600</v>
      </c>
      <c r="H263" s="1">
        <v>13.4626424242424</v>
      </c>
      <c r="I263" t="s">
        <v>48</v>
      </c>
    </row>
    <row r="264" spans="1:9">
      <c r="A264">
        <v>31</v>
      </c>
      <c r="B264" t="s">
        <v>9</v>
      </c>
      <c r="C264" t="s">
        <v>15</v>
      </c>
      <c r="D264">
        <v>88961</v>
      </c>
      <c r="E264">
        <v>875</v>
      </c>
      <c r="F264">
        <v>300</v>
      </c>
      <c r="G264">
        <v>6900</v>
      </c>
      <c r="H264" s="1">
        <v>12.892898550724601</v>
      </c>
      <c r="I264" t="s">
        <v>48</v>
      </c>
    </row>
    <row r="265" spans="1:9">
      <c r="A265">
        <v>116</v>
      </c>
      <c r="B265" t="s">
        <v>9</v>
      </c>
      <c r="C265" t="s">
        <v>15</v>
      </c>
      <c r="D265">
        <v>89028.160000000003</v>
      </c>
      <c r="E265">
        <v>950</v>
      </c>
      <c r="F265">
        <v>275</v>
      </c>
      <c r="G265">
        <v>8100</v>
      </c>
      <c r="H265" s="1">
        <v>10.991130864197499</v>
      </c>
      <c r="I265" t="s">
        <v>48</v>
      </c>
    </row>
    <row r="266" spans="1:9">
      <c r="A266">
        <v>229</v>
      </c>
      <c r="B266" t="s">
        <v>9</v>
      </c>
      <c r="C266" t="s">
        <v>15</v>
      </c>
      <c r="D266">
        <v>89547.74</v>
      </c>
      <c r="E266">
        <v>825</v>
      </c>
      <c r="F266">
        <v>325</v>
      </c>
      <c r="G266">
        <v>6000</v>
      </c>
      <c r="H266" s="1">
        <v>14.924623333333299</v>
      </c>
      <c r="I266" t="s">
        <v>48</v>
      </c>
    </row>
    <row r="267" spans="1:9">
      <c r="A267">
        <v>51</v>
      </c>
      <c r="B267" t="s">
        <v>9</v>
      </c>
      <c r="C267" t="s">
        <v>19</v>
      </c>
      <c r="D267">
        <v>89722.5</v>
      </c>
      <c r="E267">
        <v>975</v>
      </c>
      <c r="F267">
        <v>400</v>
      </c>
      <c r="G267">
        <v>6900</v>
      </c>
      <c r="H267" s="1">
        <v>13.003260869565199</v>
      </c>
      <c r="I267" t="s">
        <v>48</v>
      </c>
    </row>
    <row r="268" spans="1:9">
      <c r="A268">
        <v>36</v>
      </c>
      <c r="B268" t="s">
        <v>9</v>
      </c>
      <c r="C268" t="s">
        <v>19</v>
      </c>
      <c r="D268">
        <v>90002</v>
      </c>
      <c r="E268">
        <v>975</v>
      </c>
      <c r="F268">
        <v>425</v>
      </c>
      <c r="G268">
        <v>6600</v>
      </c>
      <c r="H268" s="1">
        <v>13.636666666666599</v>
      </c>
      <c r="I268" t="s">
        <v>48</v>
      </c>
    </row>
    <row r="269" spans="1:9">
      <c r="A269">
        <v>201</v>
      </c>
      <c r="B269" t="s">
        <v>9</v>
      </c>
      <c r="C269" t="s">
        <v>23</v>
      </c>
      <c r="D269">
        <v>90472.06</v>
      </c>
      <c r="E269">
        <v>825</v>
      </c>
      <c r="F269">
        <v>200</v>
      </c>
      <c r="G269">
        <v>7500</v>
      </c>
      <c r="H269" s="1">
        <v>12.062941333333301</v>
      </c>
      <c r="I269" t="s">
        <v>48</v>
      </c>
    </row>
    <row r="270" spans="1:9">
      <c r="A270">
        <v>22</v>
      </c>
      <c r="B270" t="s">
        <v>9</v>
      </c>
      <c r="C270" t="s">
        <v>23</v>
      </c>
      <c r="D270">
        <v>90568</v>
      </c>
      <c r="E270">
        <v>950</v>
      </c>
      <c r="F270">
        <v>350</v>
      </c>
      <c r="G270">
        <v>7200</v>
      </c>
      <c r="H270" s="1">
        <v>12.5788888888888</v>
      </c>
      <c r="I270" t="s">
        <v>48</v>
      </c>
    </row>
    <row r="271" spans="1:9">
      <c r="A271">
        <v>35</v>
      </c>
      <c r="B271" t="s">
        <v>9</v>
      </c>
      <c r="C271" t="s">
        <v>23</v>
      </c>
      <c r="D271">
        <v>90675</v>
      </c>
      <c r="E271">
        <v>975</v>
      </c>
      <c r="F271">
        <v>375</v>
      </c>
      <c r="G271">
        <v>7200</v>
      </c>
      <c r="H271">
        <v>12.59375</v>
      </c>
      <c r="I271" t="s">
        <v>48</v>
      </c>
    </row>
    <row r="272" spans="1:9">
      <c r="A272">
        <v>239</v>
      </c>
      <c r="B272" t="s">
        <v>20</v>
      </c>
      <c r="C272" t="s">
        <v>15</v>
      </c>
      <c r="D272">
        <v>90693</v>
      </c>
      <c r="E272">
        <v>825</v>
      </c>
      <c r="F272">
        <v>425</v>
      </c>
      <c r="G272">
        <v>4800</v>
      </c>
      <c r="H272">
        <v>18.894375</v>
      </c>
      <c r="I272" t="s">
        <v>48</v>
      </c>
    </row>
    <row r="273" spans="1:9">
      <c r="A273">
        <v>70</v>
      </c>
      <c r="B273" t="s">
        <v>9</v>
      </c>
      <c r="C273" t="s">
        <v>19</v>
      </c>
      <c r="D273">
        <v>90702.83</v>
      </c>
      <c r="E273">
        <v>825</v>
      </c>
      <c r="F273">
        <v>400</v>
      </c>
      <c r="G273">
        <v>5100</v>
      </c>
      <c r="H273" s="1">
        <v>17.784868627450901</v>
      </c>
      <c r="I273" t="s">
        <v>48</v>
      </c>
    </row>
    <row r="274" spans="1:9">
      <c r="A274">
        <v>77</v>
      </c>
      <c r="B274" t="s">
        <v>20</v>
      </c>
      <c r="C274" t="s">
        <v>15</v>
      </c>
      <c r="D274">
        <v>90882.48</v>
      </c>
      <c r="E274">
        <v>975</v>
      </c>
      <c r="F274">
        <v>425</v>
      </c>
      <c r="G274">
        <v>6600</v>
      </c>
      <c r="H274" s="1">
        <v>13.7700727272727</v>
      </c>
      <c r="I274" t="s">
        <v>48</v>
      </c>
    </row>
    <row r="275" spans="1:9">
      <c r="A275">
        <v>212</v>
      </c>
      <c r="B275" t="s">
        <v>9</v>
      </c>
      <c r="C275" t="s">
        <v>23</v>
      </c>
      <c r="D275" s="1">
        <v>90944.7</v>
      </c>
      <c r="E275">
        <v>875</v>
      </c>
      <c r="F275">
        <v>175</v>
      </c>
      <c r="G275">
        <v>8400</v>
      </c>
      <c r="H275">
        <v>10.826750000000001</v>
      </c>
      <c r="I275" t="s">
        <v>48</v>
      </c>
    </row>
    <row r="276" spans="1:9">
      <c r="A276">
        <v>238</v>
      </c>
      <c r="B276" t="s">
        <v>9</v>
      </c>
      <c r="C276" t="s">
        <v>19</v>
      </c>
      <c r="D276">
        <v>91218.96</v>
      </c>
      <c r="E276">
        <v>950</v>
      </c>
      <c r="F276">
        <v>350</v>
      </c>
      <c r="G276">
        <v>7200</v>
      </c>
      <c r="H276" s="1">
        <v>12.6693</v>
      </c>
      <c r="I276" t="s">
        <v>48</v>
      </c>
    </row>
    <row r="277" spans="1:9">
      <c r="A277">
        <v>137</v>
      </c>
      <c r="B277" t="s">
        <v>9</v>
      </c>
      <c r="C277" t="s">
        <v>19</v>
      </c>
      <c r="D277">
        <v>91494.36</v>
      </c>
      <c r="E277">
        <v>875</v>
      </c>
      <c r="F277">
        <v>325</v>
      </c>
      <c r="G277">
        <v>6600</v>
      </c>
      <c r="H277" s="1">
        <v>13.8627818181818</v>
      </c>
      <c r="I277" t="s">
        <v>48</v>
      </c>
    </row>
    <row r="278" spans="1:9">
      <c r="A278">
        <v>125</v>
      </c>
      <c r="B278" t="s">
        <v>9</v>
      </c>
      <c r="C278" t="s">
        <v>15</v>
      </c>
      <c r="D278">
        <v>91581.88</v>
      </c>
      <c r="E278">
        <v>875</v>
      </c>
      <c r="F278">
        <v>200</v>
      </c>
      <c r="G278">
        <v>8100</v>
      </c>
      <c r="H278" s="1">
        <v>11.3064049382716</v>
      </c>
      <c r="I278" t="s">
        <v>48</v>
      </c>
    </row>
    <row r="279" spans="1:9">
      <c r="A279">
        <v>138</v>
      </c>
      <c r="B279" t="s">
        <v>9</v>
      </c>
      <c r="C279" t="s">
        <v>23</v>
      </c>
      <c r="D279">
        <v>92045.16</v>
      </c>
      <c r="E279">
        <v>950</v>
      </c>
      <c r="G279">
        <v>11400</v>
      </c>
      <c r="H279" s="1">
        <v>8.0741368421052595</v>
      </c>
      <c r="I279" t="s">
        <v>47</v>
      </c>
    </row>
    <row r="280" spans="1:9">
      <c r="A280">
        <v>54</v>
      </c>
      <c r="B280" t="s">
        <v>9</v>
      </c>
      <c r="C280" t="s">
        <v>10</v>
      </c>
      <c r="D280">
        <v>92169.55</v>
      </c>
      <c r="E280">
        <v>975</v>
      </c>
      <c r="F280">
        <v>425</v>
      </c>
      <c r="G280">
        <v>6600</v>
      </c>
      <c r="H280" s="1">
        <v>13.9650833333333</v>
      </c>
      <c r="I280" t="s">
        <v>48</v>
      </c>
    </row>
    <row r="281" spans="1:9">
      <c r="A281">
        <v>69</v>
      </c>
      <c r="B281" t="s">
        <v>9</v>
      </c>
      <c r="C281" t="s">
        <v>19</v>
      </c>
      <c r="D281">
        <v>92378</v>
      </c>
      <c r="E281">
        <v>950</v>
      </c>
      <c r="F281">
        <v>275</v>
      </c>
      <c r="G281">
        <v>8100</v>
      </c>
      <c r="H281" s="1">
        <v>11.4046913580246</v>
      </c>
      <c r="I281" t="s">
        <v>48</v>
      </c>
    </row>
    <row r="282" spans="1:9">
      <c r="A282">
        <v>47</v>
      </c>
      <c r="B282" t="s">
        <v>9</v>
      </c>
      <c r="C282" t="s">
        <v>23</v>
      </c>
      <c r="D282">
        <v>92478.88</v>
      </c>
      <c r="E282">
        <v>975</v>
      </c>
      <c r="F282">
        <v>375</v>
      </c>
      <c r="G282">
        <v>7200</v>
      </c>
      <c r="H282" s="1">
        <v>12.8442888888888</v>
      </c>
      <c r="I282" t="s">
        <v>48</v>
      </c>
    </row>
    <row r="283" spans="1:9">
      <c r="A283">
        <v>12</v>
      </c>
      <c r="B283" t="s">
        <v>9</v>
      </c>
      <c r="C283" t="s">
        <v>17</v>
      </c>
      <c r="D283">
        <v>92789</v>
      </c>
      <c r="E283">
        <v>875</v>
      </c>
      <c r="F283">
        <v>225</v>
      </c>
      <c r="G283">
        <v>7800</v>
      </c>
      <c r="H283" s="1">
        <v>11.8960256410256</v>
      </c>
      <c r="I283" t="s">
        <v>48</v>
      </c>
    </row>
    <row r="284" spans="1:9">
      <c r="A284">
        <v>180</v>
      </c>
      <c r="B284" t="s">
        <v>9</v>
      </c>
      <c r="C284" t="s">
        <v>19</v>
      </c>
      <c r="D284">
        <v>93024.8</v>
      </c>
      <c r="E284">
        <v>950</v>
      </c>
      <c r="F284">
        <v>275</v>
      </c>
      <c r="G284">
        <v>8100</v>
      </c>
      <c r="H284" s="1">
        <v>11.484543209876501</v>
      </c>
      <c r="I284" t="s">
        <v>48</v>
      </c>
    </row>
    <row r="285" spans="1:9">
      <c r="A285">
        <v>30</v>
      </c>
      <c r="B285" t="s">
        <v>20</v>
      </c>
      <c r="C285" t="s">
        <v>23</v>
      </c>
      <c r="D285">
        <v>93365</v>
      </c>
      <c r="E285">
        <v>875</v>
      </c>
      <c r="F285">
        <v>400</v>
      </c>
      <c r="G285">
        <v>5700</v>
      </c>
      <c r="H285" s="1">
        <v>16.379824561403499</v>
      </c>
      <c r="I285" t="s">
        <v>48</v>
      </c>
    </row>
    <row r="286" spans="1:9">
      <c r="A286">
        <v>220</v>
      </c>
      <c r="B286" t="s">
        <v>9</v>
      </c>
      <c r="C286" t="s">
        <v>23</v>
      </c>
      <c r="D286">
        <v>93743.22</v>
      </c>
      <c r="E286">
        <v>875</v>
      </c>
      <c r="F286">
        <v>350</v>
      </c>
      <c r="G286">
        <v>6300</v>
      </c>
      <c r="H286" s="1">
        <v>14.8798761904761</v>
      </c>
      <c r="I286" t="s">
        <v>48</v>
      </c>
    </row>
    <row r="287" spans="1:9">
      <c r="A287">
        <v>57</v>
      </c>
      <c r="B287" t="s">
        <v>9</v>
      </c>
      <c r="C287" t="s">
        <v>15</v>
      </c>
      <c r="D287">
        <v>94088.8</v>
      </c>
      <c r="E287">
        <v>950</v>
      </c>
      <c r="F287">
        <v>300</v>
      </c>
      <c r="G287">
        <v>7800</v>
      </c>
      <c r="H287" s="1">
        <v>12.062666666666599</v>
      </c>
      <c r="I287" t="s">
        <v>48</v>
      </c>
    </row>
    <row r="288" spans="1:9">
      <c r="A288">
        <v>164</v>
      </c>
      <c r="B288" t="s">
        <v>9</v>
      </c>
      <c r="C288" t="s">
        <v>19</v>
      </c>
      <c r="D288">
        <v>94298.66</v>
      </c>
      <c r="E288">
        <v>975</v>
      </c>
      <c r="F288">
        <v>325</v>
      </c>
      <c r="G288">
        <v>7800</v>
      </c>
      <c r="H288" s="1">
        <v>12.0895717948717</v>
      </c>
      <c r="I288" t="s">
        <v>48</v>
      </c>
    </row>
    <row r="289" spans="1:9">
      <c r="A289">
        <v>187</v>
      </c>
      <c r="B289" t="s">
        <v>20</v>
      </c>
      <c r="C289" t="s">
        <v>19</v>
      </c>
      <c r="D289">
        <v>94305.02</v>
      </c>
      <c r="E289">
        <v>875</v>
      </c>
      <c r="F289">
        <v>400</v>
      </c>
      <c r="G289">
        <v>5700</v>
      </c>
      <c r="H289" s="1">
        <v>16.544740350877099</v>
      </c>
      <c r="I289" t="s">
        <v>48</v>
      </c>
    </row>
    <row r="290" spans="1:9">
      <c r="A290">
        <v>19</v>
      </c>
      <c r="B290" t="s">
        <v>9</v>
      </c>
      <c r="C290" t="s">
        <v>19</v>
      </c>
      <c r="D290">
        <v>94320</v>
      </c>
      <c r="E290">
        <v>975</v>
      </c>
      <c r="F290">
        <v>325</v>
      </c>
      <c r="G290">
        <v>7800</v>
      </c>
      <c r="H290" s="1">
        <v>12.0923076923076</v>
      </c>
      <c r="I290" t="s">
        <v>48</v>
      </c>
    </row>
    <row r="291" spans="1:9">
      <c r="A291">
        <v>72</v>
      </c>
      <c r="B291" t="s">
        <v>9</v>
      </c>
      <c r="C291" t="s">
        <v>17</v>
      </c>
      <c r="D291">
        <v>94441.36</v>
      </c>
      <c r="E291">
        <v>950</v>
      </c>
      <c r="F291">
        <v>375</v>
      </c>
      <c r="G291">
        <v>6900</v>
      </c>
      <c r="H291" s="1">
        <v>13.687153623188401</v>
      </c>
      <c r="I291" t="s">
        <v>48</v>
      </c>
    </row>
    <row r="292" spans="1:9">
      <c r="A292">
        <v>99</v>
      </c>
      <c r="B292" t="s">
        <v>9</v>
      </c>
      <c r="C292" t="s">
        <v>19</v>
      </c>
      <c r="D292">
        <v>94621.28</v>
      </c>
      <c r="E292">
        <v>950</v>
      </c>
      <c r="F292">
        <v>350</v>
      </c>
      <c r="G292">
        <v>7200</v>
      </c>
      <c r="H292" s="1">
        <v>13.1418444444444</v>
      </c>
      <c r="I292" t="s">
        <v>48</v>
      </c>
    </row>
    <row r="293" spans="1:9">
      <c r="A293">
        <v>280</v>
      </c>
      <c r="B293" t="s">
        <v>9</v>
      </c>
      <c r="C293" t="s">
        <v>23</v>
      </c>
      <c r="D293" s="1">
        <v>94686.739999999903</v>
      </c>
      <c r="E293">
        <v>950</v>
      </c>
      <c r="F293">
        <v>175</v>
      </c>
      <c r="G293">
        <v>9300</v>
      </c>
      <c r="H293" s="1">
        <v>10.1813698924731</v>
      </c>
      <c r="I293" t="s">
        <v>48</v>
      </c>
    </row>
    <row r="294" spans="1:9">
      <c r="A294">
        <v>113</v>
      </c>
      <c r="B294" t="s">
        <v>9</v>
      </c>
      <c r="C294" t="s">
        <v>19</v>
      </c>
      <c r="D294" s="1">
        <v>94965.15</v>
      </c>
      <c r="E294">
        <v>950</v>
      </c>
      <c r="F294">
        <v>300</v>
      </c>
      <c r="G294">
        <v>7800</v>
      </c>
      <c r="H294" s="1">
        <v>12.1750192307692</v>
      </c>
      <c r="I294" t="s">
        <v>48</v>
      </c>
    </row>
    <row r="295" spans="1:9">
      <c r="A295">
        <v>91</v>
      </c>
      <c r="B295" t="s">
        <v>9</v>
      </c>
      <c r="C295" t="s">
        <v>15</v>
      </c>
      <c r="D295">
        <v>95193.63</v>
      </c>
      <c r="E295">
        <v>875</v>
      </c>
      <c r="F295">
        <v>250</v>
      </c>
      <c r="G295">
        <v>7500</v>
      </c>
      <c r="H295">
        <v>12.692484</v>
      </c>
      <c r="I295" t="s">
        <v>48</v>
      </c>
    </row>
    <row r="296" spans="1:9">
      <c r="A296">
        <v>130</v>
      </c>
      <c r="B296" t="s">
        <v>20</v>
      </c>
      <c r="C296" t="s">
        <v>19</v>
      </c>
      <c r="D296" s="1">
        <v>95341.7</v>
      </c>
      <c r="E296">
        <v>975</v>
      </c>
      <c r="F296">
        <v>375</v>
      </c>
      <c r="G296">
        <v>7200</v>
      </c>
      <c r="H296" s="1">
        <v>13.2419027777777</v>
      </c>
      <c r="I296" t="s">
        <v>48</v>
      </c>
    </row>
    <row r="297" spans="1:9">
      <c r="A297">
        <v>48</v>
      </c>
      <c r="B297" t="s">
        <v>9</v>
      </c>
      <c r="C297" t="s">
        <v>19</v>
      </c>
      <c r="D297">
        <v>95682.3</v>
      </c>
      <c r="E297">
        <v>950</v>
      </c>
      <c r="F297">
        <v>350</v>
      </c>
      <c r="G297">
        <v>7200</v>
      </c>
      <c r="H297" s="1">
        <v>13.289208333333301</v>
      </c>
      <c r="I297" t="s">
        <v>48</v>
      </c>
    </row>
    <row r="298" spans="1:9">
      <c r="A298">
        <v>224</v>
      </c>
      <c r="B298" t="s">
        <v>9</v>
      </c>
      <c r="C298" t="s">
        <v>15</v>
      </c>
      <c r="D298" s="1">
        <v>95760.4</v>
      </c>
      <c r="E298">
        <v>975</v>
      </c>
      <c r="F298">
        <v>150</v>
      </c>
      <c r="G298">
        <v>9900</v>
      </c>
      <c r="H298" s="1">
        <v>9.6727676767676698</v>
      </c>
      <c r="I298" t="s">
        <v>47</v>
      </c>
    </row>
    <row r="299" spans="1:9">
      <c r="A299">
        <v>179</v>
      </c>
      <c r="B299" t="s">
        <v>9</v>
      </c>
      <c r="C299" t="s">
        <v>23</v>
      </c>
      <c r="D299">
        <v>95797.08</v>
      </c>
      <c r="E299">
        <v>875</v>
      </c>
      <c r="F299">
        <v>400</v>
      </c>
      <c r="G299">
        <v>5700</v>
      </c>
      <c r="H299" s="1">
        <v>16.806505263157799</v>
      </c>
      <c r="I299" t="s">
        <v>48</v>
      </c>
    </row>
    <row r="300" spans="1:9">
      <c r="A300">
        <v>75</v>
      </c>
      <c r="B300" t="s">
        <v>20</v>
      </c>
      <c r="C300" t="s">
        <v>10</v>
      </c>
      <c r="D300">
        <v>95874.46</v>
      </c>
      <c r="E300">
        <v>875</v>
      </c>
      <c r="F300">
        <v>375</v>
      </c>
      <c r="G300">
        <v>6000</v>
      </c>
      <c r="H300" s="1">
        <v>15.9790766666666</v>
      </c>
      <c r="I300" t="s">
        <v>48</v>
      </c>
    </row>
    <row r="301" spans="1:9">
      <c r="A301">
        <v>176</v>
      </c>
      <c r="B301" t="s">
        <v>9</v>
      </c>
      <c r="C301" t="s">
        <v>10</v>
      </c>
      <c r="D301" s="1">
        <v>95966.04</v>
      </c>
      <c r="E301">
        <v>975</v>
      </c>
      <c r="F301">
        <v>225</v>
      </c>
      <c r="G301">
        <v>9000</v>
      </c>
      <c r="H301" s="1">
        <v>10.662893333333299</v>
      </c>
      <c r="I301" t="s">
        <v>48</v>
      </c>
    </row>
    <row r="302" spans="1:9">
      <c r="A302">
        <v>167</v>
      </c>
      <c r="B302" t="s">
        <v>9</v>
      </c>
      <c r="C302" t="s">
        <v>17</v>
      </c>
      <c r="D302">
        <v>95994.72</v>
      </c>
      <c r="E302">
        <v>975</v>
      </c>
      <c r="F302">
        <v>200</v>
      </c>
      <c r="G302">
        <v>9300</v>
      </c>
      <c r="H302" s="1">
        <v>10.322012903225801</v>
      </c>
      <c r="I302" t="s">
        <v>48</v>
      </c>
    </row>
    <row r="303" spans="1:9">
      <c r="A303">
        <v>76</v>
      </c>
      <c r="B303" t="s">
        <v>9</v>
      </c>
      <c r="C303" t="s">
        <v>19</v>
      </c>
      <c r="D303">
        <v>96011.45</v>
      </c>
      <c r="E303">
        <v>950</v>
      </c>
      <c r="F303">
        <v>300</v>
      </c>
      <c r="G303">
        <v>7800</v>
      </c>
      <c r="H303" s="1">
        <v>12.3091602564102</v>
      </c>
      <c r="I303" t="s">
        <v>48</v>
      </c>
    </row>
    <row r="304" spans="1:9">
      <c r="A304">
        <v>144</v>
      </c>
      <c r="B304" t="s">
        <v>9</v>
      </c>
      <c r="C304" t="s">
        <v>19</v>
      </c>
      <c r="D304" s="1">
        <v>96296.76</v>
      </c>
      <c r="E304">
        <v>825</v>
      </c>
      <c r="F304">
        <v>325</v>
      </c>
      <c r="G304">
        <v>6000</v>
      </c>
      <c r="H304">
        <v>16.04946</v>
      </c>
      <c r="I304" t="s">
        <v>48</v>
      </c>
    </row>
    <row r="305" spans="1:9">
      <c r="A305">
        <v>319</v>
      </c>
      <c r="B305" t="s">
        <v>9</v>
      </c>
      <c r="C305" t="s">
        <v>10</v>
      </c>
      <c r="D305">
        <v>96421.2</v>
      </c>
      <c r="E305">
        <v>950</v>
      </c>
      <c r="F305">
        <v>325</v>
      </c>
      <c r="G305">
        <v>7500</v>
      </c>
      <c r="H305">
        <v>12.856159999999999</v>
      </c>
      <c r="I305" t="s">
        <v>48</v>
      </c>
    </row>
    <row r="306" spans="1:9">
      <c r="A306">
        <v>10</v>
      </c>
      <c r="B306" t="s">
        <v>9</v>
      </c>
      <c r="C306" t="s">
        <v>19</v>
      </c>
      <c r="D306">
        <v>96442</v>
      </c>
      <c r="E306">
        <v>975</v>
      </c>
      <c r="F306">
        <v>325</v>
      </c>
      <c r="G306">
        <v>7800</v>
      </c>
      <c r="H306" s="1">
        <v>12.3643589743589</v>
      </c>
      <c r="I306" t="s">
        <v>48</v>
      </c>
    </row>
    <row r="307" spans="1:9">
      <c r="A307">
        <v>303</v>
      </c>
      <c r="B307" t="s">
        <v>9</v>
      </c>
      <c r="C307" t="s">
        <v>10</v>
      </c>
      <c r="D307">
        <v>96496.8</v>
      </c>
      <c r="E307">
        <v>825</v>
      </c>
      <c r="F307">
        <v>200</v>
      </c>
      <c r="G307">
        <v>7500</v>
      </c>
      <c r="H307" s="1">
        <v>12.866239999999999</v>
      </c>
      <c r="I307" t="s">
        <v>48</v>
      </c>
    </row>
    <row r="308" spans="1:9">
      <c r="A308">
        <v>175</v>
      </c>
      <c r="B308" t="s">
        <v>9</v>
      </c>
      <c r="C308" t="s">
        <v>10</v>
      </c>
      <c r="D308">
        <v>96691.32</v>
      </c>
      <c r="E308">
        <v>875</v>
      </c>
      <c r="F308">
        <v>200</v>
      </c>
      <c r="G308">
        <v>8100</v>
      </c>
      <c r="H308">
        <v>11.937200000000001</v>
      </c>
      <c r="I308" t="s">
        <v>48</v>
      </c>
    </row>
    <row r="309" spans="1:9">
      <c r="A309">
        <v>368</v>
      </c>
      <c r="B309" t="s">
        <v>9</v>
      </c>
      <c r="C309" t="s">
        <v>15</v>
      </c>
      <c r="D309">
        <v>96958.8</v>
      </c>
      <c r="E309">
        <v>950</v>
      </c>
      <c r="F309">
        <v>200</v>
      </c>
      <c r="G309">
        <v>9000</v>
      </c>
      <c r="H309" s="1">
        <v>10.773199999999999</v>
      </c>
      <c r="I309" t="s">
        <v>48</v>
      </c>
    </row>
    <row r="310" spans="1:9">
      <c r="A310">
        <v>332</v>
      </c>
      <c r="B310" t="s">
        <v>9</v>
      </c>
      <c r="C310" t="s">
        <v>15</v>
      </c>
      <c r="D310">
        <v>97030.8</v>
      </c>
      <c r="E310">
        <v>950</v>
      </c>
      <c r="F310">
        <v>450</v>
      </c>
      <c r="G310">
        <v>6000</v>
      </c>
      <c r="H310">
        <v>16.171800000000001</v>
      </c>
      <c r="I310" t="s">
        <v>48</v>
      </c>
    </row>
    <row r="311" spans="1:9">
      <c r="A311">
        <v>325</v>
      </c>
      <c r="B311" t="s">
        <v>9</v>
      </c>
      <c r="C311" t="s">
        <v>19</v>
      </c>
      <c r="D311">
        <v>97430.399999999994</v>
      </c>
      <c r="E311">
        <v>975</v>
      </c>
      <c r="F311">
        <v>450</v>
      </c>
      <c r="G311">
        <v>6300</v>
      </c>
      <c r="H311" s="1">
        <v>15.4651428571428</v>
      </c>
      <c r="I311" t="s">
        <v>48</v>
      </c>
    </row>
    <row r="312" spans="1:9">
      <c r="A312">
        <v>302</v>
      </c>
      <c r="B312" t="s">
        <v>9</v>
      </c>
      <c r="C312" t="s">
        <v>19</v>
      </c>
      <c r="D312">
        <v>97730.4</v>
      </c>
      <c r="E312">
        <v>950</v>
      </c>
      <c r="F312">
        <v>275</v>
      </c>
      <c r="G312">
        <v>8100</v>
      </c>
      <c r="H312" s="1">
        <v>12.065481481481401</v>
      </c>
      <c r="I312" t="s">
        <v>48</v>
      </c>
    </row>
    <row r="313" spans="1:9">
      <c r="A313">
        <v>24</v>
      </c>
      <c r="B313" t="s">
        <v>9</v>
      </c>
      <c r="C313" t="s">
        <v>17</v>
      </c>
      <c r="D313">
        <v>97806</v>
      </c>
      <c r="E313">
        <v>950</v>
      </c>
      <c r="F313">
        <v>450</v>
      </c>
      <c r="G313">
        <v>6000</v>
      </c>
      <c r="H313">
        <v>16.300999999999998</v>
      </c>
      <c r="I313" t="s">
        <v>48</v>
      </c>
    </row>
    <row r="314" spans="1:9">
      <c r="A314">
        <v>300</v>
      </c>
      <c r="B314" t="s">
        <v>9</v>
      </c>
      <c r="C314" t="s">
        <v>15</v>
      </c>
      <c r="D314" s="1">
        <v>98055.599999999904</v>
      </c>
      <c r="E314">
        <v>975</v>
      </c>
      <c r="F314">
        <v>175</v>
      </c>
      <c r="G314">
        <v>9600</v>
      </c>
      <c r="H314">
        <v>10.214124999999999</v>
      </c>
      <c r="I314" t="s">
        <v>48</v>
      </c>
    </row>
    <row r="315" spans="1:9">
      <c r="A315">
        <v>151</v>
      </c>
      <c r="B315" t="s">
        <v>9</v>
      </c>
      <c r="C315" t="s">
        <v>17</v>
      </c>
      <c r="D315" s="1">
        <v>98223.84</v>
      </c>
      <c r="E315">
        <v>875</v>
      </c>
      <c r="F315">
        <v>325</v>
      </c>
      <c r="G315">
        <v>6600</v>
      </c>
      <c r="H315" s="1">
        <v>14.882400000000001</v>
      </c>
      <c r="I315" t="s">
        <v>48</v>
      </c>
    </row>
    <row r="316" spans="1:9">
      <c r="A316">
        <v>67</v>
      </c>
      <c r="B316" t="s">
        <v>20</v>
      </c>
      <c r="C316" t="s">
        <v>15</v>
      </c>
      <c r="D316">
        <v>98328.88</v>
      </c>
      <c r="E316">
        <v>950</v>
      </c>
      <c r="F316">
        <v>400</v>
      </c>
      <c r="G316">
        <v>6600</v>
      </c>
      <c r="H316" s="1">
        <v>14.898315151515099</v>
      </c>
      <c r="I316" t="s">
        <v>48</v>
      </c>
    </row>
    <row r="317" spans="1:9">
      <c r="A317">
        <v>384</v>
      </c>
      <c r="B317" t="s">
        <v>9</v>
      </c>
      <c r="C317" t="s">
        <v>10</v>
      </c>
      <c r="D317">
        <v>98467.199999999997</v>
      </c>
      <c r="E317">
        <v>875</v>
      </c>
      <c r="F317">
        <v>300</v>
      </c>
      <c r="G317">
        <v>6900</v>
      </c>
      <c r="H317" s="1">
        <v>14.270608695652101</v>
      </c>
      <c r="I317" t="s">
        <v>48</v>
      </c>
    </row>
    <row r="318" spans="1:9">
      <c r="A318">
        <v>355</v>
      </c>
      <c r="B318" t="s">
        <v>9</v>
      </c>
      <c r="C318" t="s">
        <v>19</v>
      </c>
      <c r="D318">
        <v>98618.4</v>
      </c>
      <c r="E318">
        <v>950</v>
      </c>
      <c r="F318">
        <v>275</v>
      </c>
      <c r="G318">
        <v>8100</v>
      </c>
      <c r="H318" s="1">
        <v>12.1751111111111</v>
      </c>
      <c r="I318" t="s">
        <v>48</v>
      </c>
    </row>
    <row r="319" spans="1:9">
      <c r="A319">
        <v>184</v>
      </c>
      <c r="B319" t="s">
        <v>9</v>
      </c>
      <c r="C319" t="s">
        <v>10</v>
      </c>
      <c r="D319">
        <v>99127.8</v>
      </c>
      <c r="E319">
        <v>875</v>
      </c>
      <c r="F319">
        <v>225</v>
      </c>
      <c r="G319">
        <v>7800</v>
      </c>
      <c r="H319" s="1">
        <v>12.708692307692299</v>
      </c>
      <c r="I319" t="s">
        <v>48</v>
      </c>
    </row>
    <row r="320" spans="1:9">
      <c r="A320">
        <v>295</v>
      </c>
      <c r="B320" t="s">
        <v>9</v>
      </c>
      <c r="C320" t="s">
        <v>10</v>
      </c>
      <c r="D320">
        <v>99138</v>
      </c>
      <c r="E320">
        <v>875</v>
      </c>
      <c r="F320">
        <v>275</v>
      </c>
      <c r="G320">
        <v>7200</v>
      </c>
      <c r="H320" s="1">
        <v>13.769166666666599</v>
      </c>
      <c r="I320" t="s">
        <v>48</v>
      </c>
    </row>
    <row r="321" spans="1:9">
      <c r="A321">
        <v>58</v>
      </c>
      <c r="B321" t="s">
        <v>20</v>
      </c>
      <c r="C321" t="s">
        <v>17</v>
      </c>
      <c r="D321">
        <v>99344.53</v>
      </c>
      <c r="E321">
        <v>950</v>
      </c>
      <c r="F321">
        <v>375</v>
      </c>
      <c r="G321">
        <v>6900</v>
      </c>
      <c r="H321" s="1">
        <v>14.3977579710144</v>
      </c>
      <c r="I321" t="s">
        <v>48</v>
      </c>
    </row>
    <row r="322" spans="1:9">
      <c r="A322">
        <v>78</v>
      </c>
      <c r="B322" t="s">
        <v>9</v>
      </c>
      <c r="C322" t="s">
        <v>15</v>
      </c>
      <c r="D322">
        <v>99832.95</v>
      </c>
      <c r="E322">
        <v>875</v>
      </c>
      <c r="F322">
        <v>150</v>
      </c>
      <c r="G322">
        <v>8700</v>
      </c>
      <c r="H322" s="1">
        <v>11.4750517241379</v>
      </c>
      <c r="I322" t="s">
        <v>48</v>
      </c>
    </row>
    <row r="323" spans="1:9">
      <c r="A323">
        <v>20</v>
      </c>
      <c r="B323" t="s">
        <v>9</v>
      </c>
      <c r="C323" t="s">
        <v>10</v>
      </c>
      <c r="D323">
        <v>99848</v>
      </c>
      <c r="E323">
        <v>950</v>
      </c>
      <c r="F323">
        <v>175</v>
      </c>
      <c r="G323">
        <v>9300</v>
      </c>
      <c r="H323" s="1">
        <v>10.7363440860215</v>
      </c>
      <c r="I323" t="s">
        <v>48</v>
      </c>
    </row>
    <row r="324" spans="1:9">
      <c r="A324">
        <v>450</v>
      </c>
      <c r="B324" t="s">
        <v>9</v>
      </c>
      <c r="C324" t="s">
        <v>23</v>
      </c>
      <c r="D324">
        <v>100376.61</v>
      </c>
      <c r="E324">
        <v>875</v>
      </c>
      <c r="F324">
        <v>300</v>
      </c>
      <c r="G324">
        <v>6900</v>
      </c>
      <c r="H324" s="1">
        <v>14.547334782608599</v>
      </c>
      <c r="I324" t="s">
        <v>48</v>
      </c>
    </row>
    <row r="325" spans="1:9">
      <c r="A325">
        <v>124</v>
      </c>
      <c r="B325" t="s">
        <v>9</v>
      </c>
      <c r="C325" t="s">
        <v>23</v>
      </c>
      <c r="D325">
        <v>100567.5</v>
      </c>
      <c r="E325">
        <v>875</v>
      </c>
      <c r="F325">
        <v>275</v>
      </c>
      <c r="G325">
        <v>7200</v>
      </c>
      <c r="H325" s="1">
        <v>13.967708333333301</v>
      </c>
      <c r="I325" t="s">
        <v>48</v>
      </c>
    </row>
    <row r="326" spans="1:9">
      <c r="A326">
        <v>242</v>
      </c>
      <c r="B326" t="s">
        <v>20</v>
      </c>
      <c r="C326" t="s">
        <v>15</v>
      </c>
      <c r="D326">
        <v>100640.64</v>
      </c>
      <c r="E326">
        <v>975</v>
      </c>
      <c r="F326">
        <v>350</v>
      </c>
      <c r="G326">
        <v>7500</v>
      </c>
      <c r="H326">
        <v>13.418752</v>
      </c>
      <c r="I326" t="s">
        <v>48</v>
      </c>
    </row>
    <row r="327" spans="1:9">
      <c r="A327">
        <v>211</v>
      </c>
      <c r="B327" t="s">
        <v>9</v>
      </c>
      <c r="C327" t="s">
        <v>19</v>
      </c>
      <c r="D327">
        <v>100977.72</v>
      </c>
      <c r="E327">
        <v>825</v>
      </c>
      <c r="F327">
        <v>425</v>
      </c>
      <c r="G327">
        <v>4800</v>
      </c>
      <c r="H327">
        <v>21.037025</v>
      </c>
      <c r="I327" t="s">
        <v>48</v>
      </c>
    </row>
    <row r="328" spans="1:9">
      <c r="A328">
        <v>114</v>
      </c>
      <c r="B328" t="s">
        <v>9</v>
      </c>
      <c r="C328" t="s">
        <v>23</v>
      </c>
      <c r="D328">
        <v>101104.8</v>
      </c>
      <c r="E328">
        <v>975</v>
      </c>
      <c r="F328">
        <v>350</v>
      </c>
      <c r="G328">
        <v>7500</v>
      </c>
      <c r="H328" s="1">
        <v>13.480639999999999</v>
      </c>
      <c r="I328" t="s">
        <v>48</v>
      </c>
    </row>
    <row r="329" spans="1:9">
      <c r="A329">
        <v>18</v>
      </c>
      <c r="B329" t="s">
        <v>20</v>
      </c>
      <c r="C329" t="s">
        <v>15</v>
      </c>
      <c r="D329">
        <v>101143</v>
      </c>
      <c r="E329">
        <v>1050</v>
      </c>
      <c r="F329">
        <v>700</v>
      </c>
      <c r="G329">
        <v>4200</v>
      </c>
      <c r="H329" s="1">
        <v>24.081666666666599</v>
      </c>
      <c r="I329" t="s">
        <v>48</v>
      </c>
    </row>
    <row r="330" spans="1:9">
      <c r="A330">
        <v>233</v>
      </c>
      <c r="B330" t="s">
        <v>20</v>
      </c>
      <c r="C330" t="s">
        <v>23</v>
      </c>
      <c r="D330" s="1">
        <v>101233.18</v>
      </c>
      <c r="E330">
        <v>875</v>
      </c>
      <c r="F330">
        <v>375</v>
      </c>
      <c r="G330">
        <v>6000</v>
      </c>
      <c r="H330" s="1">
        <v>16.8721966666666</v>
      </c>
      <c r="I330" t="s">
        <v>48</v>
      </c>
    </row>
    <row r="331" spans="1:9">
      <c r="A331">
        <v>53</v>
      </c>
      <c r="B331" t="s">
        <v>9</v>
      </c>
      <c r="C331" t="s">
        <v>23</v>
      </c>
      <c r="D331">
        <v>101242.05</v>
      </c>
      <c r="E331">
        <v>950</v>
      </c>
      <c r="F331">
        <v>150</v>
      </c>
      <c r="G331">
        <v>9600</v>
      </c>
      <c r="H331">
        <v>10.546046875</v>
      </c>
      <c r="I331" t="s">
        <v>48</v>
      </c>
    </row>
    <row r="332" spans="1:9">
      <c r="A332">
        <v>102</v>
      </c>
      <c r="B332" t="s">
        <v>9</v>
      </c>
      <c r="C332" t="s">
        <v>17</v>
      </c>
      <c r="D332">
        <v>101430</v>
      </c>
      <c r="E332">
        <v>975</v>
      </c>
      <c r="F332">
        <v>150</v>
      </c>
      <c r="G332">
        <v>9900</v>
      </c>
      <c r="H332" s="1">
        <v>10.2454545454545</v>
      </c>
      <c r="I332" t="s">
        <v>48</v>
      </c>
    </row>
    <row r="333" spans="1:9">
      <c r="A333">
        <v>475</v>
      </c>
      <c r="B333" t="s">
        <v>9</v>
      </c>
      <c r="C333" t="s">
        <v>10</v>
      </c>
      <c r="D333">
        <v>101576.25</v>
      </c>
      <c r="E333">
        <v>825</v>
      </c>
      <c r="F333">
        <v>400</v>
      </c>
      <c r="G333">
        <v>5100</v>
      </c>
      <c r="H333" s="1">
        <v>19.916911764705802</v>
      </c>
      <c r="I333" t="s">
        <v>48</v>
      </c>
    </row>
    <row r="334" spans="1:9">
      <c r="A334">
        <v>166</v>
      </c>
      <c r="B334" t="s">
        <v>9</v>
      </c>
      <c r="C334" t="s">
        <v>19</v>
      </c>
      <c r="D334">
        <v>101584.8</v>
      </c>
      <c r="E334">
        <v>950</v>
      </c>
      <c r="F334">
        <v>275</v>
      </c>
      <c r="G334">
        <v>8100</v>
      </c>
      <c r="H334" s="1">
        <v>12.5413333333333</v>
      </c>
      <c r="I334" t="s">
        <v>48</v>
      </c>
    </row>
    <row r="335" spans="1:9">
      <c r="A335">
        <v>408</v>
      </c>
      <c r="B335" t="s">
        <v>9</v>
      </c>
      <c r="C335" t="s">
        <v>15</v>
      </c>
      <c r="D335">
        <v>101814.48</v>
      </c>
      <c r="E335">
        <v>825</v>
      </c>
      <c r="F335">
        <v>200</v>
      </c>
      <c r="G335">
        <v>7500</v>
      </c>
      <c r="H335" s="1">
        <v>13.575263999999899</v>
      </c>
      <c r="I335" t="s">
        <v>48</v>
      </c>
    </row>
    <row r="336" spans="1:9">
      <c r="A336">
        <v>446</v>
      </c>
      <c r="B336" t="s">
        <v>9</v>
      </c>
      <c r="C336" t="s">
        <v>19</v>
      </c>
      <c r="D336" s="1">
        <v>101815.709999999</v>
      </c>
      <c r="E336">
        <v>950</v>
      </c>
      <c r="F336">
        <v>300</v>
      </c>
      <c r="G336">
        <v>7800</v>
      </c>
      <c r="H336" s="1">
        <v>13.0532961538461</v>
      </c>
      <c r="I336" t="s">
        <v>48</v>
      </c>
    </row>
    <row r="337" spans="1:9">
      <c r="A337">
        <v>15</v>
      </c>
      <c r="B337" t="s">
        <v>9</v>
      </c>
      <c r="C337" t="s">
        <v>10</v>
      </c>
      <c r="D337">
        <v>102348</v>
      </c>
      <c r="E337">
        <v>975</v>
      </c>
      <c r="F337">
        <v>375</v>
      </c>
      <c r="G337">
        <v>7200</v>
      </c>
      <c r="H337">
        <v>14.215</v>
      </c>
      <c r="I337" t="s">
        <v>48</v>
      </c>
    </row>
    <row r="338" spans="1:9">
      <c r="A338">
        <v>122</v>
      </c>
      <c r="B338" t="s">
        <v>9</v>
      </c>
      <c r="C338" t="s">
        <v>15</v>
      </c>
      <c r="D338" s="1">
        <v>102498</v>
      </c>
      <c r="E338">
        <v>975</v>
      </c>
      <c r="F338">
        <v>350</v>
      </c>
      <c r="G338">
        <v>7500</v>
      </c>
      <c r="H338" s="1">
        <v>13.666399999999999</v>
      </c>
      <c r="I338" t="s">
        <v>48</v>
      </c>
    </row>
    <row r="339" spans="1:9">
      <c r="A339">
        <v>152</v>
      </c>
      <c r="B339" t="s">
        <v>9</v>
      </c>
      <c r="C339" t="s">
        <v>19</v>
      </c>
      <c r="D339" s="1">
        <v>102749.9</v>
      </c>
      <c r="E339">
        <v>875</v>
      </c>
      <c r="F339">
        <v>325</v>
      </c>
      <c r="G339">
        <v>6600</v>
      </c>
      <c r="H339" s="1">
        <v>15.568166666666601</v>
      </c>
      <c r="I339" t="s">
        <v>48</v>
      </c>
    </row>
    <row r="340" spans="1:9">
      <c r="A340">
        <v>264</v>
      </c>
      <c r="B340" t="s">
        <v>9</v>
      </c>
      <c r="C340" t="s">
        <v>17</v>
      </c>
      <c r="D340">
        <v>102783.75</v>
      </c>
      <c r="E340">
        <v>975</v>
      </c>
      <c r="F340">
        <v>200</v>
      </c>
      <c r="G340">
        <v>9300</v>
      </c>
      <c r="H340" s="1">
        <v>11.0520161290322</v>
      </c>
      <c r="I340" t="s">
        <v>48</v>
      </c>
    </row>
    <row r="341" spans="1:9">
      <c r="A341">
        <v>230</v>
      </c>
      <c r="B341" t="s">
        <v>9</v>
      </c>
      <c r="C341" t="s">
        <v>17</v>
      </c>
      <c r="D341">
        <v>102936.6</v>
      </c>
      <c r="E341">
        <v>975</v>
      </c>
      <c r="G341">
        <v>11700</v>
      </c>
      <c r="H341">
        <v>8.798</v>
      </c>
      <c r="I341" t="s">
        <v>47</v>
      </c>
    </row>
    <row r="342" spans="1:9">
      <c r="A342">
        <v>320</v>
      </c>
      <c r="B342" t="s">
        <v>9</v>
      </c>
      <c r="C342" t="s">
        <v>10</v>
      </c>
      <c r="D342">
        <v>102979.2</v>
      </c>
      <c r="E342">
        <v>950</v>
      </c>
      <c r="F342">
        <v>400</v>
      </c>
      <c r="G342">
        <v>6600</v>
      </c>
      <c r="H342" s="1">
        <v>15.602909090909</v>
      </c>
      <c r="I342" t="s">
        <v>48</v>
      </c>
    </row>
    <row r="343" spans="1:9">
      <c r="A343">
        <v>392</v>
      </c>
      <c r="B343" t="s">
        <v>9</v>
      </c>
      <c r="C343" t="s">
        <v>17</v>
      </c>
      <c r="D343">
        <v>103060.8</v>
      </c>
      <c r="E343">
        <v>975</v>
      </c>
      <c r="F343">
        <v>400</v>
      </c>
      <c r="G343">
        <v>6900</v>
      </c>
      <c r="H343" s="1">
        <v>14.9363478260869</v>
      </c>
      <c r="I343" t="s">
        <v>48</v>
      </c>
    </row>
    <row r="344" spans="1:9">
      <c r="A344">
        <v>86</v>
      </c>
      <c r="B344" t="s">
        <v>9</v>
      </c>
      <c r="C344" t="s">
        <v>17</v>
      </c>
      <c r="D344">
        <v>103158.64</v>
      </c>
      <c r="E344">
        <v>875</v>
      </c>
      <c r="F344">
        <v>400</v>
      </c>
      <c r="G344">
        <v>5700</v>
      </c>
      <c r="H344" s="1">
        <v>18.0980070175438</v>
      </c>
      <c r="I344" t="s">
        <v>48</v>
      </c>
    </row>
    <row r="345" spans="1:9">
      <c r="A345">
        <v>415</v>
      </c>
      <c r="B345" t="s">
        <v>9</v>
      </c>
      <c r="C345" t="s">
        <v>17</v>
      </c>
      <c r="D345">
        <v>103264.65</v>
      </c>
      <c r="E345">
        <v>875</v>
      </c>
      <c r="F345">
        <v>450</v>
      </c>
      <c r="G345">
        <v>5100</v>
      </c>
      <c r="H345" s="1">
        <v>20.247970588235201</v>
      </c>
      <c r="I345" t="s">
        <v>48</v>
      </c>
    </row>
    <row r="346" spans="1:9">
      <c r="A346">
        <v>327</v>
      </c>
      <c r="B346" t="s">
        <v>9</v>
      </c>
      <c r="C346" t="s">
        <v>15</v>
      </c>
      <c r="D346">
        <v>103276.8</v>
      </c>
      <c r="E346">
        <v>975</v>
      </c>
      <c r="F346">
        <v>450</v>
      </c>
      <c r="G346">
        <v>6300</v>
      </c>
      <c r="H346" s="1">
        <v>16.393142857142799</v>
      </c>
      <c r="I346" t="s">
        <v>48</v>
      </c>
    </row>
    <row r="347" spans="1:9">
      <c r="A347">
        <v>134</v>
      </c>
      <c r="B347" t="s">
        <v>9</v>
      </c>
      <c r="C347" t="s">
        <v>10</v>
      </c>
      <c r="D347" s="1">
        <v>103370.04</v>
      </c>
      <c r="E347">
        <v>825</v>
      </c>
      <c r="F347">
        <v>325</v>
      </c>
      <c r="G347">
        <v>6000</v>
      </c>
      <c r="H347" s="1">
        <v>17.228339999999999</v>
      </c>
      <c r="I347" t="s">
        <v>48</v>
      </c>
    </row>
    <row r="348" spans="1:9">
      <c r="A348">
        <v>215</v>
      </c>
      <c r="B348" t="s">
        <v>9</v>
      </c>
      <c r="C348" t="s">
        <v>10</v>
      </c>
      <c r="D348">
        <v>103862.52</v>
      </c>
      <c r="E348">
        <v>950</v>
      </c>
      <c r="F348">
        <v>275</v>
      </c>
      <c r="G348">
        <v>8100</v>
      </c>
      <c r="H348" s="1">
        <v>12.8225333333333</v>
      </c>
      <c r="I348" t="s">
        <v>48</v>
      </c>
    </row>
    <row r="349" spans="1:9">
      <c r="A349">
        <v>155</v>
      </c>
      <c r="B349" t="s">
        <v>9</v>
      </c>
      <c r="C349" t="s">
        <v>10</v>
      </c>
      <c r="D349">
        <v>103926.64</v>
      </c>
      <c r="E349">
        <v>975</v>
      </c>
      <c r="F349">
        <v>325</v>
      </c>
      <c r="G349">
        <v>7800</v>
      </c>
      <c r="H349" s="1">
        <v>13.323928205128199</v>
      </c>
      <c r="I349" t="s">
        <v>48</v>
      </c>
    </row>
    <row r="350" spans="1:9">
      <c r="A350">
        <v>142</v>
      </c>
      <c r="B350" t="s">
        <v>9</v>
      </c>
      <c r="C350" t="s">
        <v>19</v>
      </c>
      <c r="D350">
        <v>104130.16</v>
      </c>
      <c r="E350">
        <v>950</v>
      </c>
      <c r="F350">
        <v>325</v>
      </c>
      <c r="G350">
        <v>7500</v>
      </c>
      <c r="H350" s="1">
        <v>13.884021333333299</v>
      </c>
      <c r="I350" t="s">
        <v>48</v>
      </c>
    </row>
    <row r="351" spans="1:9">
      <c r="A351">
        <v>324</v>
      </c>
      <c r="B351" t="s">
        <v>9</v>
      </c>
      <c r="C351" t="s">
        <v>23</v>
      </c>
      <c r="D351" s="1">
        <v>104199.599999999</v>
      </c>
      <c r="E351">
        <v>875</v>
      </c>
      <c r="F351">
        <v>250</v>
      </c>
      <c r="G351">
        <v>7500</v>
      </c>
      <c r="H351" s="1">
        <v>13.893279999999899</v>
      </c>
      <c r="I351" t="s">
        <v>48</v>
      </c>
    </row>
    <row r="352" spans="1:9">
      <c r="A352">
        <v>434</v>
      </c>
      <c r="B352" t="s">
        <v>9</v>
      </c>
      <c r="C352" t="s">
        <v>15</v>
      </c>
      <c r="D352" s="1">
        <v>104253.569999999</v>
      </c>
      <c r="E352">
        <v>950</v>
      </c>
      <c r="F352">
        <v>375</v>
      </c>
      <c r="G352">
        <v>6900</v>
      </c>
      <c r="H352" s="1">
        <v>15.109213043478199</v>
      </c>
      <c r="I352" t="s">
        <v>48</v>
      </c>
    </row>
    <row r="353" spans="1:9">
      <c r="A353">
        <v>347</v>
      </c>
      <c r="B353" t="s">
        <v>9</v>
      </c>
      <c r="C353" t="s">
        <v>19</v>
      </c>
      <c r="D353">
        <v>104378.4</v>
      </c>
      <c r="E353">
        <v>825</v>
      </c>
      <c r="F353">
        <v>225</v>
      </c>
      <c r="G353">
        <v>7200</v>
      </c>
      <c r="H353">
        <v>14.497</v>
      </c>
      <c r="I353" t="s">
        <v>48</v>
      </c>
    </row>
    <row r="354" spans="1:9">
      <c r="A354">
        <v>403</v>
      </c>
      <c r="B354" t="s">
        <v>20</v>
      </c>
      <c r="C354" t="s">
        <v>10</v>
      </c>
      <c r="D354">
        <v>104416.8</v>
      </c>
      <c r="E354">
        <v>950</v>
      </c>
      <c r="F354">
        <v>375</v>
      </c>
      <c r="G354">
        <v>6900</v>
      </c>
      <c r="H354" s="1">
        <v>15.1328695652173</v>
      </c>
      <c r="I354" t="s">
        <v>48</v>
      </c>
    </row>
    <row r="355" spans="1:9">
      <c r="A355">
        <v>400</v>
      </c>
      <c r="B355" t="s">
        <v>9</v>
      </c>
      <c r="C355" t="s">
        <v>17</v>
      </c>
      <c r="D355">
        <v>104485.2</v>
      </c>
      <c r="E355">
        <v>950</v>
      </c>
      <c r="F355">
        <v>300</v>
      </c>
      <c r="G355">
        <v>7800</v>
      </c>
      <c r="H355" s="1">
        <v>13.395538461538401</v>
      </c>
      <c r="I355" t="s">
        <v>48</v>
      </c>
    </row>
    <row r="356" spans="1:9">
      <c r="A356">
        <v>284</v>
      </c>
      <c r="B356" t="s">
        <v>9</v>
      </c>
      <c r="C356" t="s">
        <v>19</v>
      </c>
      <c r="D356" s="1">
        <v>104505.519999999</v>
      </c>
      <c r="E356">
        <v>950</v>
      </c>
      <c r="F356">
        <v>325</v>
      </c>
      <c r="G356">
        <v>7500</v>
      </c>
      <c r="H356" s="1">
        <v>13.9340693333333</v>
      </c>
      <c r="I356" t="s">
        <v>48</v>
      </c>
    </row>
    <row r="357" spans="1:9">
      <c r="A357">
        <v>379</v>
      </c>
      <c r="B357" t="s">
        <v>9</v>
      </c>
      <c r="C357" t="s">
        <v>15</v>
      </c>
      <c r="D357">
        <v>104562</v>
      </c>
      <c r="E357">
        <v>950</v>
      </c>
      <c r="F357">
        <v>275</v>
      </c>
      <c r="G357">
        <v>8100</v>
      </c>
      <c r="H357" s="1">
        <v>12.9088888888888</v>
      </c>
      <c r="I357" t="s">
        <v>48</v>
      </c>
    </row>
    <row r="358" spans="1:9">
      <c r="A358">
        <v>274</v>
      </c>
      <c r="B358" t="s">
        <v>9</v>
      </c>
      <c r="C358" t="s">
        <v>10</v>
      </c>
      <c r="D358">
        <v>104562.5</v>
      </c>
      <c r="E358">
        <v>975</v>
      </c>
      <c r="F358">
        <v>350</v>
      </c>
      <c r="G358">
        <v>7500</v>
      </c>
      <c r="H358" s="1">
        <v>13.941666666666601</v>
      </c>
      <c r="I358" t="s">
        <v>48</v>
      </c>
    </row>
    <row r="359" spans="1:9">
      <c r="A359">
        <v>3</v>
      </c>
      <c r="B359" t="s">
        <v>9</v>
      </c>
      <c r="C359" t="s">
        <v>15</v>
      </c>
      <c r="D359">
        <v>104673</v>
      </c>
      <c r="E359">
        <v>950</v>
      </c>
      <c r="F359">
        <v>275</v>
      </c>
      <c r="G359">
        <v>8100</v>
      </c>
      <c r="H359" s="1">
        <v>12.922592592592499</v>
      </c>
      <c r="I359" t="s">
        <v>48</v>
      </c>
    </row>
    <row r="360" spans="1:9">
      <c r="A360">
        <v>359</v>
      </c>
      <c r="B360" t="s">
        <v>20</v>
      </c>
      <c r="C360" t="s">
        <v>17</v>
      </c>
      <c r="D360" s="1">
        <v>104685.599999999</v>
      </c>
      <c r="E360">
        <v>825</v>
      </c>
      <c r="F360">
        <v>350</v>
      </c>
      <c r="G360">
        <v>5700</v>
      </c>
      <c r="H360" s="1">
        <v>18.365894736842101</v>
      </c>
      <c r="I360" t="s">
        <v>48</v>
      </c>
    </row>
    <row r="361" spans="1:9">
      <c r="A361">
        <v>149</v>
      </c>
      <c r="B361" t="s">
        <v>9</v>
      </c>
      <c r="C361" t="s">
        <v>23</v>
      </c>
      <c r="D361" s="1">
        <v>104741.64</v>
      </c>
      <c r="E361">
        <v>1050</v>
      </c>
      <c r="G361">
        <v>12600</v>
      </c>
      <c r="H361" s="1">
        <v>8.3128285714285699</v>
      </c>
      <c r="I361" t="s">
        <v>47</v>
      </c>
    </row>
    <row r="362" spans="1:9">
      <c r="A362">
        <v>21</v>
      </c>
      <c r="B362" t="s">
        <v>9</v>
      </c>
      <c r="C362" t="s">
        <v>19</v>
      </c>
      <c r="D362">
        <v>104788</v>
      </c>
      <c r="E362">
        <v>875</v>
      </c>
      <c r="F362">
        <v>350</v>
      </c>
      <c r="G362">
        <v>6300</v>
      </c>
      <c r="H362" s="1">
        <v>16.6330158730158</v>
      </c>
      <c r="I362" t="s">
        <v>48</v>
      </c>
    </row>
    <row r="363" spans="1:9">
      <c r="A363">
        <v>225</v>
      </c>
      <c r="B363" t="s">
        <v>20</v>
      </c>
      <c r="C363" t="s">
        <v>17</v>
      </c>
      <c r="D363">
        <v>105150.96</v>
      </c>
      <c r="E363">
        <v>875</v>
      </c>
      <c r="G363">
        <v>10500</v>
      </c>
      <c r="H363" s="1">
        <v>10.0143771428571</v>
      </c>
      <c r="I363" t="s">
        <v>48</v>
      </c>
    </row>
    <row r="364" spans="1:9">
      <c r="A364">
        <v>50</v>
      </c>
      <c r="B364" t="s">
        <v>9</v>
      </c>
      <c r="C364" t="s">
        <v>15</v>
      </c>
      <c r="D364">
        <v>105296.1</v>
      </c>
      <c r="E364">
        <v>950</v>
      </c>
      <c r="F364">
        <v>250</v>
      </c>
      <c r="G364">
        <v>8400</v>
      </c>
      <c r="H364" s="1">
        <v>12.53525</v>
      </c>
      <c r="I364" t="s">
        <v>48</v>
      </c>
    </row>
    <row r="365" spans="1:9">
      <c r="A365">
        <v>28</v>
      </c>
      <c r="B365" t="s">
        <v>9</v>
      </c>
      <c r="C365" t="s">
        <v>15</v>
      </c>
      <c r="D365">
        <v>105300</v>
      </c>
      <c r="E365">
        <v>950</v>
      </c>
      <c r="F365">
        <v>275</v>
      </c>
      <c r="G365">
        <v>8100</v>
      </c>
      <c r="H365">
        <v>13</v>
      </c>
      <c r="I365" t="s">
        <v>48</v>
      </c>
    </row>
    <row r="366" spans="1:9">
      <c r="A366">
        <v>235</v>
      </c>
      <c r="B366" t="s">
        <v>9</v>
      </c>
      <c r="C366" t="s">
        <v>23</v>
      </c>
      <c r="D366">
        <v>105589.78</v>
      </c>
      <c r="E366">
        <v>875</v>
      </c>
      <c r="F366">
        <v>325</v>
      </c>
      <c r="G366">
        <v>6600</v>
      </c>
      <c r="H366" s="1">
        <v>15.998451515151499</v>
      </c>
      <c r="I366" t="s">
        <v>48</v>
      </c>
    </row>
    <row r="367" spans="1:9">
      <c r="A367">
        <v>52</v>
      </c>
      <c r="B367" t="s">
        <v>9</v>
      </c>
      <c r="C367" t="s">
        <v>15</v>
      </c>
      <c r="D367">
        <v>105608.88</v>
      </c>
      <c r="E367">
        <v>950</v>
      </c>
      <c r="F367">
        <v>200</v>
      </c>
      <c r="G367">
        <v>9000</v>
      </c>
      <c r="H367">
        <v>11.73432</v>
      </c>
      <c r="I367" t="s">
        <v>48</v>
      </c>
    </row>
    <row r="368" spans="1:9">
      <c r="A368">
        <v>322</v>
      </c>
      <c r="B368" t="s">
        <v>9</v>
      </c>
      <c r="C368" t="s">
        <v>19</v>
      </c>
      <c r="D368" s="1">
        <v>105723.599999999</v>
      </c>
      <c r="E368">
        <v>950</v>
      </c>
      <c r="F368">
        <v>275</v>
      </c>
      <c r="G368">
        <v>8100</v>
      </c>
      <c r="H368" s="1">
        <v>13.0522962962962</v>
      </c>
      <c r="I368" t="s">
        <v>48</v>
      </c>
    </row>
    <row r="369" spans="1:9">
      <c r="A369">
        <v>496</v>
      </c>
      <c r="B369" t="s">
        <v>9</v>
      </c>
      <c r="C369" t="s">
        <v>23</v>
      </c>
      <c r="D369">
        <v>105875</v>
      </c>
      <c r="E369">
        <v>950</v>
      </c>
      <c r="F369">
        <v>350</v>
      </c>
      <c r="G369">
        <v>7200</v>
      </c>
      <c r="H369" s="1">
        <v>14.7048611111111</v>
      </c>
      <c r="I369" t="s">
        <v>48</v>
      </c>
    </row>
    <row r="370" spans="1:9">
      <c r="A370">
        <v>26</v>
      </c>
      <c r="B370" t="s">
        <v>9</v>
      </c>
      <c r="C370" t="s">
        <v>17</v>
      </c>
      <c r="D370">
        <v>105910</v>
      </c>
      <c r="E370">
        <v>875</v>
      </c>
      <c r="F370">
        <v>250</v>
      </c>
      <c r="G370">
        <v>7500</v>
      </c>
      <c r="H370" s="1">
        <v>14.1213333333333</v>
      </c>
      <c r="I370" t="s">
        <v>48</v>
      </c>
    </row>
    <row r="371" spans="1:9">
      <c r="A371">
        <v>4</v>
      </c>
      <c r="B371" t="s">
        <v>20</v>
      </c>
      <c r="C371" t="s">
        <v>15</v>
      </c>
      <c r="D371">
        <v>105980</v>
      </c>
      <c r="E371">
        <v>975</v>
      </c>
      <c r="F371">
        <v>400</v>
      </c>
      <c r="G371">
        <v>6900</v>
      </c>
      <c r="H371" s="1">
        <v>15.359420289855001</v>
      </c>
      <c r="I371" t="s">
        <v>48</v>
      </c>
    </row>
    <row r="372" spans="1:9">
      <c r="A372">
        <v>232</v>
      </c>
      <c r="B372" t="s">
        <v>9</v>
      </c>
      <c r="C372" t="s">
        <v>17</v>
      </c>
      <c r="D372">
        <v>106021.44</v>
      </c>
      <c r="E372">
        <v>825</v>
      </c>
      <c r="F372">
        <v>175</v>
      </c>
      <c r="G372">
        <v>7800</v>
      </c>
      <c r="H372" s="1">
        <v>13.5924923076923</v>
      </c>
      <c r="I372" t="s">
        <v>48</v>
      </c>
    </row>
    <row r="373" spans="1:9">
      <c r="A373">
        <v>101</v>
      </c>
      <c r="B373" t="s">
        <v>20</v>
      </c>
      <c r="C373" t="s">
        <v>15</v>
      </c>
      <c r="D373">
        <v>106028</v>
      </c>
      <c r="E373">
        <v>1150</v>
      </c>
      <c r="F373">
        <v>350</v>
      </c>
      <c r="G373">
        <v>9600</v>
      </c>
      <c r="H373" s="1">
        <v>11.0445833333333</v>
      </c>
      <c r="I373" t="s">
        <v>48</v>
      </c>
    </row>
    <row r="374" spans="1:9">
      <c r="A374">
        <v>106</v>
      </c>
      <c r="B374" t="s">
        <v>9</v>
      </c>
      <c r="C374" t="s">
        <v>15</v>
      </c>
      <c r="D374">
        <v>106111.63</v>
      </c>
      <c r="E374">
        <v>950</v>
      </c>
      <c r="F374">
        <v>300</v>
      </c>
      <c r="G374">
        <v>7800</v>
      </c>
      <c r="H374" s="1">
        <v>13.604055128205101</v>
      </c>
      <c r="I374" t="s">
        <v>48</v>
      </c>
    </row>
    <row r="375" spans="1:9">
      <c r="A375">
        <v>296</v>
      </c>
      <c r="B375" t="s">
        <v>9</v>
      </c>
      <c r="C375" t="s">
        <v>15</v>
      </c>
      <c r="D375">
        <v>106387.2</v>
      </c>
      <c r="E375">
        <v>875</v>
      </c>
      <c r="F375">
        <v>400</v>
      </c>
      <c r="G375">
        <v>5700</v>
      </c>
      <c r="H375" s="1">
        <v>18.6644210526315</v>
      </c>
      <c r="I375" t="s">
        <v>48</v>
      </c>
    </row>
    <row r="376" spans="1:9">
      <c r="A376">
        <v>196</v>
      </c>
      <c r="B376" t="s">
        <v>20</v>
      </c>
      <c r="C376" t="s">
        <v>15</v>
      </c>
      <c r="D376">
        <v>106497.14</v>
      </c>
      <c r="E376">
        <v>975</v>
      </c>
      <c r="F376">
        <v>425</v>
      </c>
      <c r="G376">
        <v>6600</v>
      </c>
      <c r="H376" s="1">
        <v>16.1359303030303</v>
      </c>
      <c r="I376" t="s">
        <v>48</v>
      </c>
    </row>
    <row r="377" spans="1:9">
      <c r="A377">
        <v>136</v>
      </c>
      <c r="B377" t="s">
        <v>9</v>
      </c>
      <c r="C377" t="s">
        <v>19</v>
      </c>
      <c r="D377">
        <v>106728.6</v>
      </c>
      <c r="E377">
        <v>875</v>
      </c>
      <c r="G377">
        <v>10500</v>
      </c>
      <c r="H377" s="1">
        <v>10.1646285714285</v>
      </c>
      <c r="I377" t="s">
        <v>48</v>
      </c>
    </row>
    <row r="378" spans="1:9">
      <c r="A378">
        <v>204</v>
      </c>
      <c r="B378" t="s">
        <v>9</v>
      </c>
      <c r="C378" t="s">
        <v>10</v>
      </c>
      <c r="D378">
        <v>106868.14</v>
      </c>
      <c r="E378">
        <v>975</v>
      </c>
      <c r="F378">
        <v>175</v>
      </c>
      <c r="G378">
        <v>9600</v>
      </c>
      <c r="H378" s="1">
        <v>11.1320979166666</v>
      </c>
      <c r="I378" t="s">
        <v>48</v>
      </c>
    </row>
    <row r="379" spans="1:9">
      <c r="A379">
        <v>304</v>
      </c>
      <c r="B379" t="s">
        <v>9</v>
      </c>
      <c r="C379" t="s">
        <v>19</v>
      </c>
      <c r="D379">
        <v>107226</v>
      </c>
      <c r="E379">
        <v>875</v>
      </c>
      <c r="F379">
        <v>325</v>
      </c>
      <c r="G379">
        <v>6600</v>
      </c>
      <c r="H379" s="1">
        <v>16.246363636363601</v>
      </c>
      <c r="I379" t="s">
        <v>48</v>
      </c>
    </row>
    <row r="380" spans="1:9">
      <c r="A380">
        <v>9</v>
      </c>
      <c r="B380" t="s">
        <v>20</v>
      </c>
      <c r="C380" t="s">
        <v>15</v>
      </c>
      <c r="D380">
        <v>107300</v>
      </c>
      <c r="E380">
        <v>1150</v>
      </c>
      <c r="F380">
        <v>700</v>
      </c>
      <c r="G380">
        <v>5400</v>
      </c>
      <c r="H380" s="1">
        <v>19.870370370370299</v>
      </c>
      <c r="I380" t="s">
        <v>48</v>
      </c>
    </row>
    <row r="381" spans="1:9">
      <c r="A381">
        <v>236</v>
      </c>
      <c r="B381" t="s">
        <v>20</v>
      </c>
      <c r="C381" t="s">
        <v>19</v>
      </c>
      <c r="D381">
        <v>107577.8</v>
      </c>
      <c r="E381">
        <v>950</v>
      </c>
      <c r="F381">
        <v>400</v>
      </c>
      <c r="G381">
        <v>6600</v>
      </c>
      <c r="H381" s="1">
        <v>16.299666666666599</v>
      </c>
      <c r="I381" t="s">
        <v>48</v>
      </c>
    </row>
    <row r="382" spans="1:9">
      <c r="A382">
        <v>14</v>
      </c>
      <c r="B382" t="s">
        <v>9</v>
      </c>
      <c r="C382" t="s">
        <v>19</v>
      </c>
      <c r="D382">
        <v>107722</v>
      </c>
      <c r="E382">
        <v>950</v>
      </c>
      <c r="F382">
        <v>275</v>
      </c>
      <c r="G382">
        <v>8100</v>
      </c>
      <c r="H382" s="1">
        <v>13.299012345678999</v>
      </c>
      <c r="I382" t="s">
        <v>48</v>
      </c>
    </row>
    <row r="383" spans="1:9">
      <c r="A383">
        <v>65</v>
      </c>
      <c r="B383" t="s">
        <v>9</v>
      </c>
      <c r="C383" t="s">
        <v>17</v>
      </c>
      <c r="D383" s="1">
        <v>107742.12</v>
      </c>
      <c r="E383">
        <v>950</v>
      </c>
      <c r="F383">
        <v>450</v>
      </c>
      <c r="G383">
        <v>6000</v>
      </c>
      <c r="H383">
        <v>17.95702</v>
      </c>
      <c r="I383" t="s">
        <v>48</v>
      </c>
    </row>
    <row r="384" spans="1:9">
      <c r="A384">
        <v>271</v>
      </c>
      <c r="B384" t="s">
        <v>20</v>
      </c>
      <c r="C384" t="s">
        <v>15</v>
      </c>
      <c r="D384">
        <v>107876.25</v>
      </c>
      <c r="E384">
        <v>975</v>
      </c>
      <c r="F384">
        <v>325</v>
      </c>
      <c r="G384">
        <v>7800</v>
      </c>
      <c r="H384" s="1">
        <v>13.8302884615384</v>
      </c>
      <c r="I384" t="s">
        <v>48</v>
      </c>
    </row>
    <row r="385" spans="1:9">
      <c r="A385">
        <v>269</v>
      </c>
      <c r="B385" t="s">
        <v>9</v>
      </c>
      <c r="C385" t="s">
        <v>10</v>
      </c>
      <c r="D385">
        <v>107877.5</v>
      </c>
      <c r="E385">
        <v>975</v>
      </c>
      <c r="G385">
        <v>11700</v>
      </c>
      <c r="H385" s="1">
        <v>9.2202991452991405</v>
      </c>
      <c r="I385" t="s">
        <v>47</v>
      </c>
    </row>
    <row r="386" spans="1:9">
      <c r="A386">
        <v>250</v>
      </c>
      <c r="B386" t="s">
        <v>9</v>
      </c>
      <c r="C386" t="s">
        <v>10</v>
      </c>
      <c r="D386">
        <v>107901.72</v>
      </c>
      <c r="E386">
        <v>875</v>
      </c>
      <c r="F386">
        <v>425</v>
      </c>
      <c r="G386">
        <v>5400</v>
      </c>
      <c r="H386">
        <v>19.9818</v>
      </c>
      <c r="I386" t="s">
        <v>48</v>
      </c>
    </row>
    <row r="387" spans="1:9">
      <c r="A387">
        <v>133</v>
      </c>
      <c r="B387" t="s">
        <v>20</v>
      </c>
      <c r="C387" t="s">
        <v>19</v>
      </c>
      <c r="D387">
        <v>107933.44</v>
      </c>
      <c r="E387">
        <v>875</v>
      </c>
      <c r="F387">
        <v>400</v>
      </c>
      <c r="G387">
        <v>5700</v>
      </c>
      <c r="H387" s="1">
        <v>18.935691228070102</v>
      </c>
      <c r="I387" t="s">
        <v>48</v>
      </c>
    </row>
    <row r="388" spans="1:9">
      <c r="A388">
        <v>202</v>
      </c>
      <c r="B388" t="s">
        <v>9</v>
      </c>
      <c r="C388" t="s">
        <v>23</v>
      </c>
      <c r="D388">
        <v>107986.44</v>
      </c>
      <c r="E388">
        <v>875</v>
      </c>
      <c r="F388">
        <v>350</v>
      </c>
      <c r="G388">
        <v>6300</v>
      </c>
      <c r="H388" s="1">
        <v>17.140704761904701</v>
      </c>
      <c r="I388" t="s">
        <v>48</v>
      </c>
    </row>
    <row r="389" spans="1:9">
      <c r="A389">
        <v>456</v>
      </c>
      <c r="B389" t="s">
        <v>9</v>
      </c>
      <c r="C389" t="s">
        <v>23</v>
      </c>
      <c r="D389">
        <v>108028.44</v>
      </c>
      <c r="E389">
        <v>875</v>
      </c>
      <c r="F389">
        <v>175</v>
      </c>
      <c r="G389">
        <v>8400</v>
      </c>
      <c r="H389" s="1">
        <v>12.8605285714285</v>
      </c>
      <c r="I389" t="s">
        <v>48</v>
      </c>
    </row>
    <row r="390" spans="1:9">
      <c r="A390">
        <v>277</v>
      </c>
      <c r="B390" t="s">
        <v>9</v>
      </c>
      <c r="C390" t="s">
        <v>15</v>
      </c>
      <c r="D390" s="1">
        <v>108067.939999999</v>
      </c>
      <c r="E390">
        <v>975</v>
      </c>
      <c r="F390">
        <v>400</v>
      </c>
      <c r="G390">
        <v>6900</v>
      </c>
      <c r="H390" s="1">
        <v>15.662020289855</v>
      </c>
      <c r="I390" t="s">
        <v>48</v>
      </c>
    </row>
    <row r="391" spans="1:9">
      <c r="A391">
        <v>258</v>
      </c>
      <c r="B391" t="s">
        <v>9</v>
      </c>
      <c r="C391" t="s">
        <v>10</v>
      </c>
      <c r="D391">
        <v>108071.25</v>
      </c>
      <c r="E391">
        <v>875</v>
      </c>
      <c r="F391">
        <v>250</v>
      </c>
      <c r="G391">
        <v>7500</v>
      </c>
      <c r="H391">
        <v>14.4095</v>
      </c>
      <c r="I391" t="s">
        <v>48</v>
      </c>
    </row>
    <row r="392" spans="1:9">
      <c r="A392">
        <v>438</v>
      </c>
      <c r="B392" t="s">
        <v>9</v>
      </c>
      <c r="C392" t="s">
        <v>15</v>
      </c>
      <c r="D392">
        <v>108171.12</v>
      </c>
      <c r="E392">
        <v>875</v>
      </c>
      <c r="F392">
        <v>250</v>
      </c>
      <c r="G392">
        <v>7500</v>
      </c>
      <c r="H392">
        <v>14.422815999999999</v>
      </c>
      <c r="I392" t="s">
        <v>48</v>
      </c>
    </row>
    <row r="393" spans="1:9">
      <c r="A393">
        <v>43</v>
      </c>
      <c r="B393" t="s">
        <v>20</v>
      </c>
      <c r="C393" t="s">
        <v>23</v>
      </c>
      <c r="D393">
        <v>108223.5</v>
      </c>
      <c r="E393">
        <v>975</v>
      </c>
      <c r="F393">
        <v>350</v>
      </c>
      <c r="G393">
        <v>7500</v>
      </c>
      <c r="H393">
        <v>14.4298</v>
      </c>
      <c r="I393" t="s">
        <v>48</v>
      </c>
    </row>
    <row r="394" spans="1:9">
      <c r="A394">
        <v>112</v>
      </c>
      <c r="B394" t="s">
        <v>9</v>
      </c>
      <c r="C394" t="s">
        <v>17</v>
      </c>
      <c r="D394">
        <v>108379.69</v>
      </c>
      <c r="E394">
        <v>975</v>
      </c>
      <c r="F394">
        <v>275</v>
      </c>
      <c r="G394">
        <v>8400</v>
      </c>
      <c r="H394" s="1">
        <v>12.902344047619</v>
      </c>
      <c r="I394" t="s">
        <v>48</v>
      </c>
    </row>
    <row r="395" spans="1:9">
      <c r="A395">
        <v>398</v>
      </c>
      <c r="B395" t="s">
        <v>9</v>
      </c>
      <c r="C395" t="s">
        <v>19</v>
      </c>
      <c r="D395">
        <v>108384</v>
      </c>
      <c r="E395">
        <v>975</v>
      </c>
      <c r="F395">
        <v>325</v>
      </c>
      <c r="G395">
        <v>7800</v>
      </c>
      <c r="H395" s="1">
        <v>13.8953846153846</v>
      </c>
      <c r="I395" t="s">
        <v>48</v>
      </c>
    </row>
    <row r="396" spans="1:9">
      <c r="A396">
        <v>451</v>
      </c>
      <c r="B396" t="s">
        <v>9</v>
      </c>
      <c r="C396" t="s">
        <v>23</v>
      </c>
      <c r="D396">
        <v>108492.15</v>
      </c>
      <c r="E396">
        <v>975</v>
      </c>
      <c r="F396">
        <v>375</v>
      </c>
      <c r="G396">
        <v>7200</v>
      </c>
      <c r="H396" s="1">
        <v>15.0683541666666</v>
      </c>
      <c r="I396" t="s">
        <v>48</v>
      </c>
    </row>
    <row r="397" spans="1:9">
      <c r="A397">
        <v>393</v>
      </c>
      <c r="B397" t="s">
        <v>20</v>
      </c>
      <c r="C397" t="s">
        <v>19</v>
      </c>
      <c r="D397">
        <v>108532.8</v>
      </c>
      <c r="E397">
        <v>825</v>
      </c>
      <c r="F397">
        <v>350</v>
      </c>
      <c r="G397">
        <v>5700</v>
      </c>
      <c r="H397" s="1">
        <v>19.040842105263099</v>
      </c>
      <c r="I397" t="s">
        <v>48</v>
      </c>
    </row>
    <row r="398" spans="1:9">
      <c r="A398">
        <v>205</v>
      </c>
      <c r="B398" t="s">
        <v>9</v>
      </c>
      <c r="C398" t="s">
        <v>10</v>
      </c>
      <c r="D398">
        <v>108537.64</v>
      </c>
      <c r="E398">
        <v>975</v>
      </c>
      <c r="F398">
        <v>425</v>
      </c>
      <c r="G398">
        <v>6600</v>
      </c>
      <c r="H398" s="1">
        <v>16.445096969696898</v>
      </c>
      <c r="I398" t="s">
        <v>48</v>
      </c>
    </row>
    <row r="399" spans="1:9">
      <c r="A399">
        <v>23</v>
      </c>
      <c r="B399" t="s">
        <v>9</v>
      </c>
      <c r="C399" t="s">
        <v>23</v>
      </c>
      <c r="D399">
        <v>108542</v>
      </c>
      <c r="E399">
        <v>950</v>
      </c>
      <c r="F399">
        <v>400</v>
      </c>
      <c r="G399">
        <v>6600</v>
      </c>
      <c r="H399" s="1">
        <v>16.445757575757501</v>
      </c>
      <c r="I399" t="s">
        <v>48</v>
      </c>
    </row>
    <row r="400" spans="1:9">
      <c r="A400">
        <v>364</v>
      </c>
      <c r="B400" t="s">
        <v>20</v>
      </c>
      <c r="C400" t="s">
        <v>10</v>
      </c>
      <c r="D400">
        <v>108694.8</v>
      </c>
      <c r="E400">
        <v>825</v>
      </c>
      <c r="F400">
        <v>325</v>
      </c>
      <c r="G400">
        <v>6000</v>
      </c>
      <c r="H400">
        <v>18.1158</v>
      </c>
      <c r="I400" t="s">
        <v>48</v>
      </c>
    </row>
    <row r="401" spans="1:9">
      <c r="A401">
        <v>454</v>
      </c>
      <c r="B401" t="s">
        <v>9</v>
      </c>
      <c r="C401" t="s">
        <v>19</v>
      </c>
      <c r="D401">
        <v>108716.01</v>
      </c>
      <c r="E401">
        <v>875</v>
      </c>
      <c r="F401">
        <v>225</v>
      </c>
      <c r="G401">
        <v>7800</v>
      </c>
      <c r="H401" s="1">
        <v>13.937949999999899</v>
      </c>
      <c r="I401" t="s">
        <v>48</v>
      </c>
    </row>
    <row r="402" spans="1:9">
      <c r="A402">
        <v>178</v>
      </c>
      <c r="B402" t="s">
        <v>9</v>
      </c>
      <c r="C402" t="s">
        <v>19</v>
      </c>
      <c r="D402">
        <v>108794.88</v>
      </c>
      <c r="E402">
        <v>975</v>
      </c>
      <c r="F402">
        <v>275</v>
      </c>
      <c r="G402">
        <v>8400</v>
      </c>
      <c r="H402" s="1">
        <v>12.9517714285714</v>
      </c>
      <c r="I402" t="s">
        <v>48</v>
      </c>
    </row>
    <row r="403" spans="1:9">
      <c r="A403">
        <v>111</v>
      </c>
      <c r="B403" t="s">
        <v>9</v>
      </c>
      <c r="C403" t="s">
        <v>19</v>
      </c>
      <c r="D403">
        <v>108838.8</v>
      </c>
      <c r="E403">
        <v>825</v>
      </c>
      <c r="F403">
        <v>275</v>
      </c>
      <c r="G403">
        <v>6600</v>
      </c>
      <c r="H403" s="1">
        <v>16.490727272727199</v>
      </c>
      <c r="I403" t="s">
        <v>48</v>
      </c>
    </row>
    <row r="404" spans="1:9">
      <c r="A404">
        <v>310</v>
      </c>
      <c r="B404" t="s">
        <v>9</v>
      </c>
      <c r="C404" t="s">
        <v>23</v>
      </c>
      <c r="D404">
        <v>108994.8</v>
      </c>
      <c r="E404">
        <v>825</v>
      </c>
      <c r="F404">
        <v>225</v>
      </c>
      <c r="G404">
        <v>7200</v>
      </c>
      <c r="H404" s="1">
        <v>15.138166666666599</v>
      </c>
      <c r="I404" t="s">
        <v>48</v>
      </c>
    </row>
    <row r="405" spans="1:9">
      <c r="A405">
        <v>181</v>
      </c>
      <c r="B405" t="s">
        <v>9</v>
      </c>
      <c r="C405" t="s">
        <v>19</v>
      </c>
      <c r="D405" s="1">
        <v>109395.18</v>
      </c>
      <c r="E405">
        <v>875</v>
      </c>
      <c r="F405">
        <v>225</v>
      </c>
      <c r="G405">
        <v>7800</v>
      </c>
      <c r="H405" s="1">
        <v>14.025023076923</v>
      </c>
      <c r="I405" t="s">
        <v>48</v>
      </c>
    </row>
    <row r="406" spans="1:9">
      <c r="A406">
        <v>422</v>
      </c>
      <c r="B406" t="s">
        <v>9</v>
      </c>
      <c r="C406" t="s">
        <v>17</v>
      </c>
      <c r="D406" s="1">
        <v>109419.569999999</v>
      </c>
      <c r="E406">
        <v>975</v>
      </c>
      <c r="F406">
        <v>150</v>
      </c>
      <c r="G406">
        <v>9900</v>
      </c>
      <c r="H406" s="1">
        <v>11.0524818181818</v>
      </c>
      <c r="I406" t="s">
        <v>48</v>
      </c>
    </row>
    <row r="407" spans="1:9">
      <c r="A407">
        <v>241</v>
      </c>
      <c r="B407" t="s">
        <v>9</v>
      </c>
      <c r="C407" t="s">
        <v>19</v>
      </c>
      <c r="D407">
        <v>109946.16</v>
      </c>
      <c r="E407">
        <v>825</v>
      </c>
      <c r="F407">
        <v>325</v>
      </c>
      <c r="G407">
        <v>6000</v>
      </c>
      <c r="H407" s="1">
        <v>18.324359999999999</v>
      </c>
      <c r="I407" t="s">
        <v>48</v>
      </c>
    </row>
    <row r="408" spans="1:9">
      <c r="A408">
        <v>93</v>
      </c>
      <c r="B408" t="s">
        <v>9</v>
      </c>
      <c r="C408" t="s">
        <v>17</v>
      </c>
      <c r="D408">
        <v>109950.88</v>
      </c>
      <c r="E408">
        <v>950</v>
      </c>
      <c r="F408">
        <v>425</v>
      </c>
      <c r="G408">
        <v>6300</v>
      </c>
      <c r="H408" s="1">
        <v>17.452520634920599</v>
      </c>
      <c r="I408" t="s">
        <v>48</v>
      </c>
    </row>
    <row r="409" spans="1:9">
      <c r="A409">
        <v>453</v>
      </c>
      <c r="B409" t="s">
        <v>9</v>
      </c>
      <c r="C409" t="s">
        <v>15</v>
      </c>
      <c r="D409">
        <v>110011.2</v>
      </c>
      <c r="E409">
        <v>950</v>
      </c>
      <c r="F409">
        <v>250</v>
      </c>
      <c r="G409">
        <v>8400</v>
      </c>
      <c r="H409" s="1">
        <v>13.0965714285714</v>
      </c>
      <c r="I409" t="s">
        <v>48</v>
      </c>
    </row>
    <row r="410" spans="1:9">
      <c r="A410">
        <v>59</v>
      </c>
      <c r="B410" t="s">
        <v>9</v>
      </c>
      <c r="C410" t="s">
        <v>19</v>
      </c>
      <c r="D410">
        <v>110199.7</v>
      </c>
      <c r="E410">
        <v>975</v>
      </c>
      <c r="F410">
        <v>225</v>
      </c>
      <c r="G410">
        <v>9000</v>
      </c>
      <c r="H410" s="1">
        <v>12.2444111111111</v>
      </c>
      <c r="I410" t="s">
        <v>48</v>
      </c>
    </row>
    <row r="411" spans="1:9">
      <c r="A411">
        <v>44</v>
      </c>
      <c r="B411" t="s">
        <v>9</v>
      </c>
      <c r="C411" t="s">
        <v>17</v>
      </c>
      <c r="D411">
        <v>110680.5</v>
      </c>
      <c r="E411">
        <v>950</v>
      </c>
      <c r="F411">
        <v>375</v>
      </c>
      <c r="G411">
        <v>6900</v>
      </c>
      <c r="H411" s="1">
        <v>16.040652173912999</v>
      </c>
      <c r="I411" t="s">
        <v>48</v>
      </c>
    </row>
    <row r="412" spans="1:9">
      <c r="A412">
        <v>433</v>
      </c>
      <c r="B412" t="s">
        <v>9</v>
      </c>
      <c r="C412" t="s">
        <v>19</v>
      </c>
      <c r="D412">
        <v>110696.31</v>
      </c>
      <c r="E412">
        <v>875</v>
      </c>
      <c r="F412">
        <v>325</v>
      </c>
      <c r="G412">
        <v>6600</v>
      </c>
      <c r="H412" s="1">
        <v>16.772168181818099</v>
      </c>
      <c r="I412" t="s">
        <v>48</v>
      </c>
    </row>
    <row r="413" spans="1:9">
      <c r="A413">
        <v>452</v>
      </c>
      <c r="B413" t="s">
        <v>20</v>
      </c>
      <c r="C413" t="s">
        <v>15</v>
      </c>
      <c r="D413">
        <v>110757.81</v>
      </c>
      <c r="E413">
        <v>950</v>
      </c>
      <c r="F413">
        <v>325</v>
      </c>
      <c r="G413">
        <v>7500</v>
      </c>
      <c r="H413" s="1">
        <v>14.767707999999899</v>
      </c>
      <c r="I413" t="s">
        <v>48</v>
      </c>
    </row>
    <row r="414" spans="1:9">
      <c r="A414">
        <v>217</v>
      </c>
      <c r="B414" t="s">
        <v>20</v>
      </c>
      <c r="C414" t="s">
        <v>15</v>
      </c>
      <c r="D414">
        <v>110802.86</v>
      </c>
      <c r="E414">
        <v>950</v>
      </c>
      <c r="F414">
        <v>350</v>
      </c>
      <c r="G414">
        <v>7200</v>
      </c>
      <c r="H414" s="1">
        <v>15.389286111111099</v>
      </c>
      <c r="I414" t="s">
        <v>48</v>
      </c>
    </row>
    <row r="415" spans="1:9">
      <c r="A415">
        <v>79</v>
      </c>
      <c r="B415" t="s">
        <v>9</v>
      </c>
      <c r="C415" t="s">
        <v>23</v>
      </c>
      <c r="D415" s="1">
        <v>110904.15</v>
      </c>
      <c r="E415">
        <v>975</v>
      </c>
      <c r="F415">
        <v>400</v>
      </c>
      <c r="G415">
        <v>6900</v>
      </c>
      <c r="H415" s="1">
        <v>16.073065217391299</v>
      </c>
      <c r="I415" t="s">
        <v>48</v>
      </c>
    </row>
    <row r="416" spans="1:9">
      <c r="A416">
        <v>345</v>
      </c>
      <c r="B416" t="s">
        <v>9</v>
      </c>
      <c r="C416" t="s">
        <v>10</v>
      </c>
      <c r="D416">
        <v>110974.8</v>
      </c>
      <c r="E416">
        <v>975</v>
      </c>
      <c r="F416">
        <v>450</v>
      </c>
      <c r="G416">
        <v>6300</v>
      </c>
      <c r="H416" s="1">
        <v>17.615047619047601</v>
      </c>
      <c r="I416" t="s">
        <v>48</v>
      </c>
    </row>
    <row r="417" spans="1:9">
      <c r="A417">
        <v>385</v>
      </c>
      <c r="B417" t="s">
        <v>9</v>
      </c>
      <c r="C417" t="s">
        <v>10</v>
      </c>
      <c r="D417">
        <v>111139.2</v>
      </c>
      <c r="E417">
        <v>950</v>
      </c>
      <c r="F417">
        <v>300</v>
      </c>
      <c r="G417">
        <v>7800</v>
      </c>
      <c r="H417" s="1">
        <v>14.248615384615301</v>
      </c>
      <c r="I417" t="s">
        <v>48</v>
      </c>
    </row>
    <row r="418" spans="1:9">
      <c r="A418">
        <v>339</v>
      </c>
      <c r="B418" t="s">
        <v>9</v>
      </c>
      <c r="C418" t="s">
        <v>15</v>
      </c>
      <c r="D418">
        <v>111172.8</v>
      </c>
      <c r="E418">
        <v>950</v>
      </c>
      <c r="F418">
        <v>375</v>
      </c>
      <c r="G418">
        <v>6900</v>
      </c>
      <c r="H418" s="1">
        <v>16.111999999999998</v>
      </c>
      <c r="I418" t="s">
        <v>48</v>
      </c>
    </row>
    <row r="419" spans="1:9">
      <c r="A419">
        <v>298</v>
      </c>
      <c r="B419" t="s">
        <v>9</v>
      </c>
      <c r="C419" t="s">
        <v>17</v>
      </c>
      <c r="D419" s="1">
        <v>111411.599999999</v>
      </c>
      <c r="E419">
        <v>825</v>
      </c>
      <c r="F419">
        <v>400</v>
      </c>
      <c r="G419">
        <v>5100</v>
      </c>
      <c r="H419" s="1">
        <v>21.845411764705801</v>
      </c>
      <c r="I419" t="s">
        <v>48</v>
      </c>
    </row>
    <row r="420" spans="1:9">
      <c r="A420">
        <v>492</v>
      </c>
      <c r="B420" t="s">
        <v>20</v>
      </c>
      <c r="C420" t="s">
        <v>15</v>
      </c>
      <c r="D420">
        <v>111505</v>
      </c>
      <c r="E420">
        <v>875</v>
      </c>
      <c r="F420">
        <v>375</v>
      </c>
      <c r="G420">
        <v>6000</v>
      </c>
      <c r="H420" s="1">
        <v>18.584166666666601</v>
      </c>
      <c r="I420" t="s">
        <v>48</v>
      </c>
    </row>
    <row r="421" spans="1:9">
      <c r="A421">
        <v>189</v>
      </c>
      <c r="B421" t="s">
        <v>9</v>
      </c>
      <c r="C421" t="s">
        <v>15</v>
      </c>
      <c r="D421" s="1">
        <v>112124.68</v>
      </c>
      <c r="E421">
        <v>825</v>
      </c>
      <c r="F421">
        <v>325</v>
      </c>
      <c r="G421">
        <v>6000</v>
      </c>
      <c r="H421" s="1">
        <v>18.687446666666599</v>
      </c>
      <c r="I421" t="s">
        <v>48</v>
      </c>
    </row>
    <row r="422" spans="1:9">
      <c r="A422">
        <v>484</v>
      </c>
      <c r="B422" t="s">
        <v>16</v>
      </c>
      <c r="C422" t="s">
        <v>19</v>
      </c>
      <c r="D422">
        <v>112375</v>
      </c>
      <c r="E422">
        <v>1150</v>
      </c>
      <c r="F422">
        <v>350</v>
      </c>
      <c r="G422">
        <v>9600</v>
      </c>
      <c r="H422" s="1">
        <v>11.7057291666666</v>
      </c>
      <c r="I422" t="s">
        <v>48</v>
      </c>
    </row>
    <row r="423" spans="1:9">
      <c r="A423">
        <v>200</v>
      </c>
      <c r="B423" t="s">
        <v>9</v>
      </c>
      <c r="C423" t="s">
        <v>15</v>
      </c>
      <c r="D423">
        <v>112470.6</v>
      </c>
      <c r="E423">
        <v>875</v>
      </c>
      <c r="F423">
        <v>400</v>
      </c>
      <c r="G423">
        <v>5700</v>
      </c>
      <c r="H423" s="1">
        <v>19.7316842105263</v>
      </c>
      <c r="I423" t="s">
        <v>48</v>
      </c>
    </row>
    <row r="424" spans="1:9">
      <c r="A424">
        <v>96</v>
      </c>
      <c r="B424" t="s">
        <v>9</v>
      </c>
      <c r="C424" t="s">
        <v>10</v>
      </c>
      <c r="D424">
        <v>112532.16</v>
      </c>
      <c r="E424">
        <v>950</v>
      </c>
      <c r="F424">
        <v>225</v>
      </c>
      <c r="G424">
        <v>8700</v>
      </c>
      <c r="H424" s="1">
        <v>12.9347310344827</v>
      </c>
      <c r="I424" t="s">
        <v>48</v>
      </c>
    </row>
    <row r="425" spans="1:9">
      <c r="A425">
        <v>334</v>
      </c>
      <c r="B425" t="s">
        <v>9</v>
      </c>
      <c r="C425" t="s">
        <v>19</v>
      </c>
      <c r="D425">
        <v>112645.2</v>
      </c>
      <c r="E425">
        <v>875</v>
      </c>
      <c r="F425">
        <v>375</v>
      </c>
      <c r="G425">
        <v>6000</v>
      </c>
      <c r="H425">
        <v>18.7742</v>
      </c>
      <c r="I425" t="s">
        <v>48</v>
      </c>
    </row>
    <row r="426" spans="1:9">
      <c r="A426">
        <v>165</v>
      </c>
      <c r="B426" t="s">
        <v>9</v>
      </c>
      <c r="C426" t="s">
        <v>15</v>
      </c>
      <c r="D426">
        <v>112656.96000000001</v>
      </c>
      <c r="E426">
        <v>975</v>
      </c>
      <c r="F426">
        <v>275</v>
      </c>
      <c r="G426">
        <v>8400</v>
      </c>
      <c r="H426" s="1">
        <v>13.4115428571428</v>
      </c>
      <c r="I426" t="s">
        <v>48</v>
      </c>
    </row>
    <row r="427" spans="1:9">
      <c r="A427">
        <v>188</v>
      </c>
      <c r="B427" t="s">
        <v>9</v>
      </c>
      <c r="C427" t="s">
        <v>10</v>
      </c>
      <c r="D427">
        <v>112683.3</v>
      </c>
      <c r="E427">
        <v>975</v>
      </c>
      <c r="F427">
        <v>350</v>
      </c>
      <c r="G427">
        <v>7500</v>
      </c>
      <c r="H427">
        <v>15.02444</v>
      </c>
      <c r="I427" t="s">
        <v>48</v>
      </c>
    </row>
    <row r="428" spans="1:9">
      <c r="A428">
        <v>372</v>
      </c>
      <c r="B428" t="s">
        <v>20</v>
      </c>
      <c r="C428" t="s">
        <v>15</v>
      </c>
      <c r="D428">
        <v>112762.8</v>
      </c>
      <c r="E428">
        <v>950</v>
      </c>
      <c r="F428">
        <v>350</v>
      </c>
      <c r="G428">
        <v>7200</v>
      </c>
      <c r="H428">
        <v>15.6615</v>
      </c>
      <c r="I428" t="s">
        <v>48</v>
      </c>
    </row>
    <row r="429" spans="1:9">
      <c r="A429">
        <v>168</v>
      </c>
      <c r="B429" t="s">
        <v>9</v>
      </c>
      <c r="C429" t="s">
        <v>19</v>
      </c>
      <c r="D429" s="1">
        <v>113217.54</v>
      </c>
      <c r="E429">
        <v>975</v>
      </c>
      <c r="F429">
        <v>275</v>
      </c>
      <c r="G429">
        <v>8400</v>
      </c>
      <c r="H429" s="1">
        <v>13.4782785714285</v>
      </c>
      <c r="I429" t="s">
        <v>48</v>
      </c>
    </row>
    <row r="430" spans="1:9">
      <c r="A430">
        <v>489</v>
      </c>
      <c r="B430" t="s">
        <v>9</v>
      </c>
      <c r="C430" t="s">
        <v>17</v>
      </c>
      <c r="D430">
        <v>113731.25</v>
      </c>
      <c r="E430">
        <v>975</v>
      </c>
      <c r="F430">
        <v>350</v>
      </c>
      <c r="G430">
        <v>7500</v>
      </c>
      <c r="H430" s="1">
        <v>15.164166666666601</v>
      </c>
      <c r="I430" t="s">
        <v>48</v>
      </c>
    </row>
    <row r="431" spans="1:9">
      <c r="A431">
        <v>477</v>
      </c>
      <c r="B431" t="s">
        <v>9</v>
      </c>
      <c r="C431" t="s">
        <v>19</v>
      </c>
      <c r="D431">
        <v>113855</v>
      </c>
      <c r="E431">
        <v>875</v>
      </c>
      <c r="F431">
        <v>400</v>
      </c>
      <c r="G431">
        <v>5700</v>
      </c>
      <c r="H431" s="1">
        <v>19.974561403508702</v>
      </c>
      <c r="I431" t="s">
        <v>48</v>
      </c>
    </row>
    <row r="432" spans="1:9">
      <c r="A432">
        <v>388</v>
      </c>
      <c r="B432" t="s">
        <v>9</v>
      </c>
      <c r="C432" t="s">
        <v>23</v>
      </c>
      <c r="D432">
        <v>113912.4</v>
      </c>
      <c r="E432">
        <v>825</v>
      </c>
      <c r="F432">
        <v>200</v>
      </c>
      <c r="G432">
        <v>7500</v>
      </c>
      <c r="H432">
        <v>15.188319999999999</v>
      </c>
      <c r="I432" t="s">
        <v>48</v>
      </c>
    </row>
    <row r="433" spans="1:9">
      <c r="A433">
        <v>486</v>
      </c>
      <c r="B433" t="s">
        <v>20</v>
      </c>
      <c r="C433" t="s">
        <v>23</v>
      </c>
      <c r="D433">
        <v>113963.75</v>
      </c>
      <c r="E433">
        <v>975</v>
      </c>
      <c r="F433">
        <v>325</v>
      </c>
      <c r="G433">
        <v>7800</v>
      </c>
      <c r="H433" s="1">
        <v>14.610737179487099</v>
      </c>
      <c r="I433" t="s">
        <v>48</v>
      </c>
    </row>
    <row r="434" spans="1:9">
      <c r="A434">
        <v>307</v>
      </c>
      <c r="B434" t="s">
        <v>9</v>
      </c>
      <c r="C434" t="s">
        <v>10</v>
      </c>
      <c r="D434">
        <v>114187.2</v>
      </c>
      <c r="E434">
        <v>975</v>
      </c>
      <c r="F434">
        <v>225</v>
      </c>
      <c r="G434">
        <v>9000</v>
      </c>
      <c r="H434" s="1">
        <v>12.6874666666666</v>
      </c>
      <c r="I434" t="s">
        <v>48</v>
      </c>
    </row>
    <row r="435" spans="1:9">
      <c r="A435">
        <v>380</v>
      </c>
      <c r="B435" t="s">
        <v>20</v>
      </c>
      <c r="C435" t="s">
        <v>15</v>
      </c>
      <c r="D435">
        <v>114583.2</v>
      </c>
      <c r="E435">
        <v>975</v>
      </c>
      <c r="F435">
        <v>700</v>
      </c>
      <c r="G435">
        <v>3300</v>
      </c>
      <c r="H435" s="1">
        <v>34.722181818181802</v>
      </c>
      <c r="I435" t="s">
        <v>48</v>
      </c>
    </row>
    <row r="436" spans="1:9">
      <c r="A436">
        <v>41</v>
      </c>
      <c r="B436" t="s">
        <v>20</v>
      </c>
      <c r="C436" t="s">
        <v>23</v>
      </c>
      <c r="D436" s="1">
        <v>114636.9</v>
      </c>
      <c r="E436">
        <v>950</v>
      </c>
      <c r="F436">
        <v>350</v>
      </c>
      <c r="G436">
        <v>7200</v>
      </c>
      <c r="H436" s="1">
        <v>15.9217916666666</v>
      </c>
      <c r="I436" t="s">
        <v>48</v>
      </c>
    </row>
    <row r="437" spans="1:9">
      <c r="A437">
        <v>226</v>
      </c>
      <c r="B437" t="s">
        <v>9</v>
      </c>
      <c r="C437" t="s">
        <v>23</v>
      </c>
      <c r="D437">
        <v>114874.32</v>
      </c>
      <c r="E437">
        <v>875</v>
      </c>
      <c r="F437">
        <v>150</v>
      </c>
      <c r="G437">
        <v>8700</v>
      </c>
      <c r="H437" s="1">
        <v>13.2039448275862</v>
      </c>
      <c r="I437" t="s">
        <v>48</v>
      </c>
    </row>
    <row r="438" spans="1:9">
      <c r="A438">
        <v>282</v>
      </c>
      <c r="B438" t="s">
        <v>9</v>
      </c>
      <c r="C438" t="s">
        <v>17</v>
      </c>
      <c r="D438">
        <v>114954.42</v>
      </c>
      <c r="E438">
        <v>950</v>
      </c>
      <c r="G438">
        <v>11400</v>
      </c>
      <c r="H438" s="1">
        <v>10.0837210526315</v>
      </c>
      <c r="I438" t="s">
        <v>48</v>
      </c>
    </row>
    <row r="439" spans="1:9">
      <c r="A439">
        <v>268</v>
      </c>
      <c r="B439" t="s">
        <v>9</v>
      </c>
      <c r="C439" t="s">
        <v>17</v>
      </c>
      <c r="D439">
        <v>115236.25</v>
      </c>
      <c r="E439">
        <v>950</v>
      </c>
      <c r="F439">
        <v>150</v>
      </c>
      <c r="G439">
        <v>9600</v>
      </c>
      <c r="H439" s="1">
        <v>12.003776041666599</v>
      </c>
      <c r="I439" t="s">
        <v>48</v>
      </c>
    </row>
    <row r="440" spans="1:9">
      <c r="A440">
        <v>197</v>
      </c>
      <c r="B440" t="s">
        <v>9</v>
      </c>
      <c r="C440" t="s">
        <v>15</v>
      </c>
      <c r="D440">
        <v>115262.28</v>
      </c>
      <c r="E440">
        <v>875</v>
      </c>
      <c r="F440">
        <v>250</v>
      </c>
      <c r="G440">
        <v>7500</v>
      </c>
      <c r="H440">
        <v>15.368304</v>
      </c>
      <c r="I440" t="s">
        <v>48</v>
      </c>
    </row>
    <row r="441" spans="1:9">
      <c r="A441">
        <v>172</v>
      </c>
      <c r="B441" t="s">
        <v>9</v>
      </c>
      <c r="C441" t="s">
        <v>10</v>
      </c>
      <c r="D441">
        <v>115790.16</v>
      </c>
      <c r="E441">
        <v>975</v>
      </c>
      <c r="F441">
        <v>225</v>
      </c>
      <c r="G441">
        <v>9000</v>
      </c>
      <c r="H441" s="1">
        <v>12.8655733333333</v>
      </c>
      <c r="I441" t="s">
        <v>48</v>
      </c>
    </row>
    <row r="442" spans="1:9">
      <c r="A442">
        <v>207</v>
      </c>
      <c r="B442" t="s">
        <v>9</v>
      </c>
      <c r="C442" t="s">
        <v>17</v>
      </c>
      <c r="D442" s="1">
        <v>115989.5</v>
      </c>
      <c r="E442">
        <v>825</v>
      </c>
      <c r="F442">
        <v>300</v>
      </c>
      <c r="G442">
        <v>6300</v>
      </c>
      <c r="H442" s="1">
        <v>18.4110317460317</v>
      </c>
      <c r="I442" t="s">
        <v>48</v>
      </c>
    </row>
    <row r="443" spans="1:9">
      <c r="A443">
        <v>131</v>
      </c>
      <c r="B443" t="s">
        <v>9</v>
      </c>
      <c r="C443" t="s">
        <v>23</v>
      </c>
      <c r="D443">
        <v>116247.96</v>
      </c>
      <c r="E443">
        <v>825</v>
      </c>
      <c r="F443">
        <v>350</v>
      </c>
      <c r="G443">
        <v>5700</v>
      </c>
      <c r="H443" s="1">
        <v>20.394378947368399</v>
      </c>
      <c r="I443" t="s">
        <v>48</v>
      </c>
    </row>
    <row r="444" spans="1:9">
      <c r="A444">
        <v>252</v>
      </c>
      <c r="B444" t="s">
        <v>20</v>
      </c>
      <c r="C444" t="s">
        <v>15</v>
      </c>
      <c r="D444" s="1">
        <v>116251.26</v>
      </c>
      <c r="E444">
        <v>975</v>
      </c>
      <c r="F444">
        <v>350</v>
      </c>
      <c r="G444">
        <v>7500</v>
      </c>
      <c r="H444">
        <v>15.500168</v>
      </c>
      <c r="I444" t="s">
        <v>48</v>
      </c>
    </row>
    <row r="445" spans="1:9">
      <c r="A445">
        <v>173</v>
      </c>
      <c r="B445" t="s">
        <v>20</v>
      </c>
      <c r="C445" t="s">
        <v>19</v>
      </c>
      <c r="D445" s="1">
        <v>116568.2</v>
      </c>
      <c r="E445">
        <v>975</v>
      </c>
      <c r="F445">
        <v>700</v>
      </c>
      <c r="G445">
        <v>3300</v>
      </c>
      <c r="H445" s="1">
        <v>35.323696969696897</v>
      </c>
      <c r="I445" t="s">
        <v>48</v>
      </c>
    </row>
    <row r="446" spans="1:9">
      <c r="A446">
        <v>436</v>
      </c>
      <c r="B446" t="s">
        <v>9</v>
      </c>
      <c r="C446" t="s">
        <v>10</v>
      </c>
      <c r="D446">
        <v>116604</v>
      </c>
      <c r="E446">
        <v>975</v>
      </c>
      <c r="F446">
        <v>325</v>
      </c>
      <c r="G446">
        <v>7800</v>
      </c>
      <c r="H446" s="1">
        <v>14.9492307692307</v>
      </c>
      <c r="I446" t="s">
        <v>48</v>
      </c>
    </row>
    <row r="447" spans="1:9">
      <c r="A447">
        <v>362</v>
      </c>
      <c r="B447" t="s">
        <v>9</v>
      </c>
      <c r="C447" t="s">
        <v>15</v>
      </c>
      <c r="D447">
        <v>116605.2</v>
      </c>
      <c r="E447">
        <v>975</v>
      </c>
      <c r="F447">
        <v>300</v>
      </c>
      <c r="G447">
        <v>8100</v>
      </c>
      <c r="H447" s="1">
        <v>14.395703703703701</v>
      </c>
      <c r="I447" t="s">
        <v>48</v>
      </c>
    </row>
    <row r="448" spans="1:9">
      <c r="A448">
        <v>174</v>
      </c>
      <c r="B448" t="s">
        <v>9</v>
      </c>
      <c r="C448" t="s">
        <v>10</v>
      </c>
      <c r="D448" s="1">
        <v>116846.28</v>
      </c>
      <c r="E448">
        <v>975</v>
      </c>
      <c r="F448">
        <v>350</v>
      </c>
      <c r="G448">
        <v>7500</v>
      </c>
      <c r="H448" s="1">
        <v>15.579504</v>
      </c>
      <c r="I448" t="s">
        <v>48</v>
      </c>
    </row>
    <row r="449" spans="1:9">
      <c r="A449">
        <v>472</v>
      </c>
      <c r="B449" t="s">
        <v>9</v>
      </c>
      <c r="C449" t="s">
        <v>15</v>
      </c>
      <c r="D449">
        <v>117221.25</v>
      </c>
      <c r="E449">
        <v>825</v>
      </c>
      <c r="F449">
        <v>225</v>
      </c>
      <c r="G449">
        <v>7200</v>
      </c>
      <c r="H449" s="1">
        <v>16.2807291666666</v>
      </c>
      <c r="I449" t="s">
        <v>48</v>
      </c>
    </row>
    <row r="450" spans="1:9">
      <c r="A450">
        <v>297</v>
      </c>
      <c r="B450" t="s">
        <v>9</v>
      </c>
      <c r="C450" t="s">
        <v>15</v>
      </c>
      <c r="D450" s="1">
        <v>117471.599999999</v>
      </c>
      <c r="E450">
        <v>950</v>
      </c>
      <c r="G450">
        <v>11400</v>
      </c>
      <c r="H450" s="1">
        <v>10.304526315789399</v>
      </c>
      <c r="I450" t="s">
        <v>48</v>
      </c>
    </row>
    <row r="451" spans="1:9">
      <c r="A451">
        <v>210</v>
      </c>
      <c r="B451" t="s">
        <v>9</v>
      </c>
      <c r="C451" t="s">
        <v>23</v>
      </c>
      <c r="D451" s="1">
        <v>117630.7</v>
      </c>
      <c r="E451">
        <v>825</v>
      </c>
      <c r="F451">
        <v>175</v>
      </c>
      <c r="G451">
        <v>7800</v>
      </c>
      <c r="H451" s="1">
        <v>15.0808589743589</v>
      </c>
      <c r="I451" t="s">
        <v>48</v>
      </c>
    </row>
    <row r="452" spans="1:9">
      <c r="A452">
        <v>383</v>
      </c>
      <c r="B452" t="s">
        <v>9</v>
      </c>
      <c r="C452" t="s">
        <v>23</v>
      </c>
      <c r="D452" s="1">
        <v>117771.599999999</v>
      </c>
      <c r="E452">
        <v>950</v>
      </c>
      <c r="F452">
        <v>400</v>
      </c>
      <c r="G452">
        <v>6600</v>
      </c>
      <c r="H452" s="1">
        <v>17.844181818181799</v>
      </c>
      <c r="I452" t="s">
        <v>48</v>
      </c>
    </row>
    <row r="453" spans="1:9">
      <c r="A453">
        <v>421</v>
      </c>
      <c r="B453" t="s">
        <v>20</v>
      </c>
      <c r="C453" t="s">
        <v>15</v>
      </c>
      <c r="D453">
        <v>118322.31</v>
      </c>
      <c r="E453">
        <v>825</v>
      </c>
      <c r="F453">
        <v>700</v>
      </c>
      <c r="G453">
        <v>1500</v>
      </c>
      <c r="H453">
        <v>78.881540000000001</v>
      </c>
      <c r="I453" t="s">
        <v>48</v>
      </c>
    </row>
    <row r="454" spans="1:9">
      <c r="A454">
        <v>340</v>
      </c>
      <c r="B454" t="s">
        <v>9</v>
      </c>
      <c r="C454" t="s">
        <v>19</v>
      </c>
      <c r="D454">
        <v>118746</v>
      </c>
      <c r="E454">
        <v>950</v>
      </c>
      <c r="F454">
        <v>275</v>
      </c>
      <c r="G454">
        <v>8100</v>
      </c>
      <c r="H454">
        <v>14.66</v>
      </c>
      <c r="I454" t="s">
        <v>48</v>
      </c>
    </row>
    <row r="455" spans="1:9">
      <c r="A455">
        <v>469</v>
      </c>
      <c r="B455" t="s">
        <v>9</v>
      </c>
      <c r="C455" t="s">
        <v>23</v>
      </c>
      <c r="D455">
        <v>118886.25</v>
      </c>
      <c r="E455">
        <v>875</v>
      </c>
      <c r="F455">
        <v>275</v>
      </c>
      <c r="G455">
        <v>7200</v>
      </c>
      <c r="H455" s="1">
        <v>16.511979166666599</v>
      </c>
      <c r="I455" t="s">
        <v>48</v>
      </c>
    </row>
    <row r="456" spans="1:9">
      <c r="A456">
        <v>407</v>
      </c>
      <c r="B456" t="s">
        <v>9</v>
      </c>
      <c r="C456" t="s">
        <v>19</v>
      </c>
      <c r="D456">
        <v>119570.76</v>
      </c>
      <c r="E456">
        <v>875</v>
      </c>
      <c r="F456">
        <v>350</v>
      </c>
      <c r="G456">
        <v>6300</v>
      </c>
      <c r="H456" s="1">
        <v>18.979485714285701</v>
      </c>
      <c r="I456" t="s">
        <v>48</v>
      </c>
    </row>
    <row r="457" spans="1:9">
      <c r="A457">
        <v>361</v>
      </c>
      <c r="B457" t="s">
        <v>9</v>
      </c>
      <c r="C457" t="s">
        <v>17</v>
      </c>
      <c r="D457">
        <v>119652</v>
      </c>
      <c r="E457">
        <v>875</v>
      </c>
      <c r="F457">
        <v>175</v>
      </c>
      <c r="G457">
        <v>8400</v>
      </c>
      <c r="H457" s="1">
        <v>14.2442857142857</v>
      </c>
      <c r="I457" t="s">
        <v>48</v>
      </c>
    </row>
    <row r="458" spans="1:9">
      <c r="A458">
        <v>439</v>
      </c>
      <c r="B458" t="s">
        <v>9</v>
      </c>
      <c r="C458" t="s">
        <v>19</v>
      </c>
      <c r="D458">
        <v>120269.4</v>
      </c>
      <c r="E458">
        <v>825</v>
      </c>
      <c r="F458">
        <v>275</v>
      </c>
      <c r="G458">
        <v>6600</v>
      </c>
      <c r="H458" s="1">
        <v>18.222636363636301</v>
      </c>
      <c r="I458" t="s">
        <v>48</v>
      </c>
    </row>
    <row r="459" spans="1:9">
      <c r="A459">
        <v>341</v>
      </c>
      <c r="B459" t="s">
        <v>9</v>
      </c>
      <c r="C459" t="s">
        <v>15</v>
      </c>
      <c r="D459" s="1">
        <v>120495.599999999</v>
      </c>
      <c r="E459">
        <v>825</v>
      </c>
      <c r="G459">
        <v>9900</v>
      </c>
      <c r="H459" s="1">
        <v>12.171272727272701</v>
      </c>
      <c r="I459" t="s">
        <v>48</v>
      </c>
    </row>
    <row r="460" spans="1:9">
      <c r="A460">
        <v>301</v>
      </c>
      <c r="B460" t="s">
        <v>9</v>
      </c>
      <c r="C460" t="s">
        <v>23</v>
      </c>
      <c r="D460" s="1">
        <v>120549.599999999</v>
      </c>
      <c r="E460">
        <v>825</v>
      </c>
      <c r="F460">
        <v>225</v>
      </c>
      <c r="G460">
        <v>7200</v>
      </c>
      <c r="H460">
        <v>16.742999999999999</v>
      </c>
      <c r="I460" t="s">
        <v>48</v>
      </c>
    </row>
    <row r="461" spans="1:9">
      <c r="A461">
        <v>479</v>
      </c>
      <c r="B461" t="s">
        <v>9</v>
      </c>
      <c r="C461" t="s">
        <v>23</v>
      </c>
      <c r="D461">
        <v>120790</v>
      </c>
      <c r="E461">
        <v>950</v>
      </c>
      <c r="F461">
        <v>400</v>
      </c>
      <c r="G461">
        <v>6600</v>
      </c>
      <c r="H461" s="1">
        <v>18.301515151515101</v>
      </c>
      <c r="I461" t="s">
        <v>48</v>
      </c>
    </row>
    <row r="462" spans="1:9">
      <c r="A462">
        <v>411</v>
      </c>
      <c r="B462" t="s">
        <v>9</v>
      </c>
      <c r="C462" t="s">
        <v>15</v>
      </c>
      <c r="D462">
        <v>121230.03</v>
      </c>
      <c r="E462">
        <v>875</v>
      </c>
      <c r="F462">
        <v>400</v>
      </c>
      <c r="G462">
        <v>5700</v>
      </c>
      <c r="H462" s="1">
        <v>21.268426315789402</v>
      </c>
      <c r="I462" t="s">
        <v>48</v>
      </c>
    </row>
    <row r="463" spans="1:9">
      <c r="A463">
        <v>435</v>
      </c>
      <c r="B463" t="s">
        <v>9</v>
      </c>
      <c r="C463" t="s">
        <v>17</v>
      </c>
      <c r="D463">
        <v>121287.84</v>
      </c>
      <c r="E463">
        <v>975</v>
      </c>
      <c r="F463">
        <v>275</v>
      </c>
      <c r="G463">
        <v>8400</v>
      </c>
      <c r="H463" s="1">
        <v>14.4390285714285</v>
      </c>
      <c r="I463" t="s">
        <v>48</v>
      </c>
    </row>
    <row r="464" spans="1:9">
      <c r="A464">
        <v>337</v>
      </c>
      <c r="B464" t="s">
        <v>9</v>
      </c>
      <c r="C464" t="s">
        <v>15</v>
      </c>
      <c r="D464">
        <v>121363.2</v>
      </c>
      <c r="E464">
        <v>875</v>
      </c>
      <c r="F464">
        <v>400</v>
      </c>
      <c r="G464">
        <v>5700</v>
      </c>
      <c r="H464" s="1">
        <v>21.291789473684201</v>
      </c>
      <c r="I464" t="s">
        <v>48</v>
      </c>
    </row>
    <row r="465" spans="1:9">
      <c r="A465">
        <v>500</v>
      </c>
      <c r="B465" t="s">
        <v>20</v>
      </c>
      <c r="C465" t="s">
        <v>15</v>
      </c>
      <c r="D465">
        <v>121382.5</v>
      </c>
      <c r="E465">
        <v>875</v>
      </c>
      <c r="F465">
        <v>700</v>
      </c>
      <c r="G465">
        <v>2100</v>
      </c>
      <c r="H465" s="1">
        <v>57.801190476190399</v>
      </c>
      <c r="I465" t="s">
        <v>48</v>
      </c>
    </row>
    <row r="466" spans="1:9">
      <c r="A466">
        <v>316</v>
      </c>
      <c r="B466" t="s">
        <v>9</v>
      </c>
      <c r="C466" t="s">
        <v>10</v>
      </c>
      <c r="D466" s="1">
        <v>121504.799999999</v>
      </c>
      <c r="E466">
        <v>975</v>
      </c>
      <c r="F466">
        <v>375</v>
      </c>
      <c r="G466">
        <v>7200</v>
      </c>
      <c r="H466" s="1">
        <v>16.8756666666666</v>
      </c>
      <c r="I466" t="s">
        <v>48</v>
      </c>
    </row>
    <row r="467" spans="1:9">
      <c r="A467">
        <v>287</v>
      </c>
      <c r="B467" t="s">
        <v>9</v>
      </c>
      <c r="C467" t="s">
        <v>15</v>
      </c>
      <c r="D467">
        <v>121669.2</v>
      </c>
      <c r="E467">
        <v>950</v>
      </c>
      <c r="F467">
        <v>300</v>
      </c>
      <c r="G467">
        <v>7800</v>
      </c>
      <c r="H467" s="1">
        <v>15.5986153846153</v>
      </c>
      <c r="I467" t="s">
        <v>48</v>
      </c>
    </row>
    <row r="468" spans="1:9">
      <c r="A468">
        <v>299</v>
      </c>
      <c r="B468" t="s">
        <v>9</v>
      </c>
      <c r="C468" t="s">
        <v>10</v>
      </c>
      <c r="D468" s="1">
        <v>121714.799999999</v>
      </c>
      <c r="E468">
        <v>875</v>
      </c>
      <c r="F468">
        <v>300</v>
      </c>
      <c r="G468">
        <v>6900</v>
      </c>
      <c r="H468" s="1">
        <v>17.6398260869565</v>
      </c>
      <c r="I468" t="s">
        <v>48</v>
      </c>
    </row>
    <row r="469" spans="1:9">
      <c r="A469">
        <v>276</v>
      </c>
      <c r="B469" t="s">
        <v>9</v>
      </c>
      <c r="C469" t="s">
        <v>15</v>
      </c>
      <c r="D469">
        <v>122871.25</v>
      </c>
      <c r="E469">
        <v>825</v>
      </c>
      <c r="F469">
        <v>200</v>
      </c>
      <c r="G469">
        <v>7500</v>
      </c>
      <c r="H469" s="1">
        <v>16.382833333333298</v>
      </c>
      <c r="I469" t="s">
        <v>48</v>
      </c>
    </row>
    <row r="470" spans="1:9">
      <c r="A470">
        <v>283</v>
      </c>
      <c r="B470" t="s">
        <v>9</v>
      </c>
      <c r="C470" t="s">
        <v>15</v>
      </c>
      <c r="D470" s="1">
        <v>122922.959999999</v>
      </c>
      <c r="E470">
        <v>975</v>
      </c>
      <c r="F470">
        <v>250</v>
      </c>
      <c r="G470">
        <v>8700</v>
      </c>
      <c r="H470" s="1">
        <v>14.1290758620689</v>
      </c>
      <c r="I470" t="s">
        <v>48</v>
      </c>
    </row>
    <row r="471" spans="1:9">
      <c r="A471">
        <v>425</v>
      </c>
      <c r="B471" t="s">
        <v>20</v>
      </c>
      <c r="C471" t="s">
        <v>15</v>
      </c>
      <c r="D471">
        <v>123644.52</v>
      </c>
      <c r="E471">
        <v>950</v>
      </c>
      <c r="F471">
        <v>350</v>
      </c>
      <c r="G471">
        <v>7200</v>
      </c>
      <c r="H471">
        <v>17.17285</v>
      </c>
      <c r="I471" t="s">
        <v>48</v>
      </c>
    </row>
    <row r="472" spans="1:9">
      <c r="A472">
        <v>348</v>
      </c>
      <c r="B472" t="s">
        <v>9</v>
      </c>
      <c r="C472" t="s">
        <v>15</v>
      </c>
      <c r="D472">
        <v>123667.2</v>
      </c>
      <c r="E472">
        <v>975</v>
      </c>
      <c r="F472">
        <v>275</v>
      </c>
      <c r="G472">
        <v>8400</v>
      </c>
      <c r="H472" s="1">
        <v>14.7222857142857</v>
      </c>
      <c r="I472" t="s">
        <v>48</v>
      </c>
    </row>
    <row r="473" spans="1:9">
      <c r="A473">
        <v>488</v>
      </c>
      <c r="B473" t="s">
        <v>9</v>
      </c>
      <c r="C473" t="s">
        <v>15</v>
      </c>
      <c r="D473">
        <v>123923.75</v>
      </c>
      <c r="E473">
        <v>950</v>
      </c>
      <c r="F473">
        <v>275</v>
      </c>
      <c r="G473">
        <v>8100</v>
      </c>
      <c r="H473" s="1">
        <v>15.2992283950617</v>
      </c>
      <c r="I473" t="s">
        <v>48</v>
      </c>
    </row>
    <row r="474" spans="1:9">
      <c r="A474">
        <v>406</v>
      </c>
      <c r="B474" t="s">
        <v>9</v>
      </c>
      <c r="C474" t="s">
        <v>19</v>
      </c>
      <c r="D474">
        <v>124720.77</v>
      </c>
      <c r="E474">
        <v>950</v>
      </c>
      <c r="F474">
        <v>325</v>
      </c>
      <c r="G474">
        <v>7500</v>
      </c>
      <c r="H474" s="1">
        <v>16.629435999999998</v>
      </c>
      <c r="I474" t="s">
        <v>48</v>
      </c>
    </row>
    <row r="475" spans="1:9">
      <c r="A475">
        <v>478</v>
      </c>
      <c r="B475" t="s">
        <v>9</v>
      </c>
      <c r="C475" t="s">
        <v>23</v>
      </c>
      <c r="D475">
        <v>124838.75</v>
      </c>
      <c r="E475">
        <v>825</v>
      </c>
      <c r="F475">
        <v>225</v>
      </c>
      <c r="G475">
        <v>7200</v>
      </c>
      <c r="H475" s="1">
        <v>17.338715277777698</v>
      </c>
      <c r="I475" t="s">
        <v>48</v>
      </c>
    </row>
    <row r="476" spans="1:9">
      <c r="A476">
        <v>426</v>
      </c>
      <c r="B476" t="s">
        <v>20</v>
      </c>
      <c r="C476" t="s">
        <v>17</v>
      </c>
      <c r="D476">
        <v>124918.8</v>
      </c>
      <c r="E476">
        <v>875</v>
      </c>
      <c r="F476">
        <v>700</v>
      </c>
      <c r="G476">
        <v>2100</v>
      </c>
      <c r="H476" s="1">
        <v>59.485142857142797</v>
      </c>
      <c r="I476" t="s">
        <v>48</v>
      </c>
    </row>
    <row r="477" spans="1:9">
      <c r="A477">
        <v>423</v>
      </c>
      <c r="B477" t="s">
        <v>9</v>
      </c>
      <c r="C477" t="s">
        <v>15</v>
      </c>
      <c r="D477" s="1">
        <v>125300.099999999</v>
      </c>
      <c r="E477">
        <v>975</v>
      </c>
      <c r="F477">
        <v>150</v>
      </c>
      <c r="G477">
        <v>9900</v>
      </c>
      <c r="H477" s="1">
        <v>12.6565757575757</v>
      </c>
      <c r="I477" t="s">
        <v>48</v>
      </c>
    </row>
    <row r="478" spans="1:9">
      <c r="A478">
        <v>410</v>
      </c>
      <c r="B478" t="s">
        <v>9</v>
      </c>
      <c r="C478" t="s">
        <v>17</v>
      </c>
      <c r="D478" s="1">
        <v>126424.319999999</v>
      </c>
      <c r="E478">
        <v>950</v>
      </c>
      <c r="F478">
        <v>250</v>
      </c>
      <c r="G478">
        <v>8400</v>
      </c>
      <c r="H478" s="1">
        <v>15.0505142857142</v>
      </c>
      <c r="I478" t="s">
        <v>48</v>
      </c>
    </row>
    <row r="479" spans="1:9">
      <c r="A479">
        <v>369</v>
      </c>
      <c r="B479" t="s">
        <v>9</v>
      </c>
      <c r="C479" t="s">
        <v>15</v>
      </c>
      <c r="D479">
        <v>126607.2</v>
      </c>
      <c r="E479">
        <v>875</v>
      </c>
      <c r="F479">
        <v>350</v>
      </c>
      <c r="G479">
        <v>6300</v>
      </c>
      <c r="H479" s="1">
        <v>20.096380952380901</v>
      </c>
      <c r="I479" t="s">
        <v>48</v>
      </c>
    </row>
    <row r="480" spans="1:9">
      <c r="A480">
        <v>286</v>
      </c>
      <c r="B480" t="s">
        <v>9</v>
      </c>
      <c r="C480" t="s">
        <v>15</v>
      </c>
      <c r="D480">
        <v>126835.2</v>
      </c>
      <c r="E480">
        <v>875</v>
      </c>
      <c r="F480">
        <v>175</v>
      </c>
      <c r="G480">
        <v>8400</v>
      </c>
      <c r="H480" s="1">
        <v>15.099428571428501</v>
      </c>
      <c r="I480" t="s">
        <v>48</v>
      </c>
    </row>
    <row r="481" spans="1:9">
      <c r="A481">
        <v>351</v>
      </c>
      <c r="B481" t="s">
        <v>9</v>
      </c>
      <c r="C481" t="s">
        <v>10</v>
      </c>
      <c r="D481" s="1">
        <v>126897.599999999</v>
      </c>
      <c r="E481">
        <v>975</v>
      </c>
      <c r="F481">
        <v>450</v>
      </c>
      <c r="G481">
        <v>6300</v>
      </c>
      <c r="H481" s="1">
        <v>20.142476190476099</v>
      </c>
      <c r="I481" t="s">
        <v>48</v>
      </c>
    </row>
    <row r="482" spans="1:9">
      <c r="A482">
        <v>318</v>
      </c>
      <c r="B482" t="s">
        <v>9</v>
      </c>
      <c r="C482" t="s">
        <v>15</v>
      </c>
      <c r="D482" s="1">
        <v>127162.799999999</v>
      </c>
      <c r="E482">
        <v>875</v>
      </c>
      <c r="F482">
        <v>300</v>
      </c>
      <c r="G482">
        <v>6900</v>
      </c>
      <c r="H482" s="1">
        <v>18.429391304347799</v>
      </c>
      <c r="I482" t="s">
        <v>48</v>
      </c>
    </row>
    <row r="483" spans="1:9">
      <c r="A483">
        <v>281</v>
      </c>
      <c r="B483" t="s">
        <v>9</v>
      </c>
      <c r="C483" t="s">
        <v>15</v>
      </c>
      <c r="D483" s="1">
        <v>127181.579999999</v>
      </c>
      <c r="E483">
        <v>875</v>
      </c>
      <c r="F483">
        <v>425</v>
      </c>
      <c r="G483">
        <v>5400</v>
      </c>
      <c r="H483" s="1">
        <v>23.552144444444401</v>
      </c>
      <c r="I483" t="s">
        <v>48</v>
      </c>
    </row>
    <row r="484" spans="1:9">
      <c r="A484">
        <v>266</v>
      </c>
      <c r="B484" t="s">
        <v>20</v>
      </c>
      <c r="C484" t="s">
        <v>19</v>
      </c>
      <c r="D484">
        <v>127615</v>
      </c>
      <c r="E484">
        <v>975</v>
      </c>
      <c r="F484">
        <v>325</v>
      </c>
      <c r="G484">
        <v>7800</v>
      </c>
      <c r="H484" s="1">
        <v>16.3608974358974</v>
      </c>
      <c r="I484" t="s">
        <v>48</v>
      </c>
    </row>
    <row r="485" spans="1:9">
      <c r="A485">
        <v>335</v>
      </c>
      <c r="B485" t="s">
        <v>9</v>
      </c>
      <c r="C485" t="s">
        <v>23</v>
      </c>
      <c r="D485" s="1">
        <v>128043.599999999</v>
      </c>
      <c r="E485">
        <v>825</v>
      </c>
      <c r="F485">
        <v>350</v>
      </c>
      <c r="G485">
        <v>5700</v>
      </c>
      <c r="H485" s="1">
        <v>22.463789473684201</v>
      </c>
      <c r="I485" t="s">
        <v>48</v>
      </c>
    </row>
    <row r="486" spans="1:9">
      <c r="A486">
        <v>449</v>
      </c>
      <c r="B486" t="s">
        <v>9</v>
      </c>
      <c r="C486" t="s">
        <v>23</v>
      </c>
      <c r="D486">
        <v>128345.58</v>
      </c>
      <c r="E486">
        <v>975</v>
      </c>
      <c r="F486">
        <v>275</v>
      </c>
      <c r="G486">
        <v>8400</v>
      </c>
      <c r="H486" s="1">
        <v>15.279235714285701</v>
      </c>
      <c r="I486" t="s">
        <v>48</v>
      </c>
    </row>
    <row r="487" spans="1:9">
      <c r="A487">
        <v>440</v>
      </c>
      <c r="B487" t="s">
        <v>9</v>
      </c>
      <c r="C487" t="s">
        <v>17</v>
      </c>
      <c r="D487">
        <v>129393.54</v>
      </c>
      <c r="E487">
        <v>875</v>
      </c>
      <c r="G487">
        <v>10500</v>
      </c>
      <c r="H487" s="1">
        <v>12.3231942857142</v>
      </c>
      <c r="I487" t="s">
        <v>48</v>
      </c>
    </row>
    <row r="488" spans="1:9">
      <c r="A488">
        <v>476</v>
      </c>
      <c r="B488" t="s">
        <v>9</v>
      </c>
      <c r="C488" t="s">
        <v>15</v>
      </c>
      <c r="D488">
        <v>129618.75</v>
      </c>
      <c r="E488">
        <v>875</v>
      </c>
      <c r="F488">
        <v>175</v>
      </c>
      <c r="G488">
        <v>8400</v>
      </c>
      <c r="H488" s="1">
        <v>15.4308035714285</v>
      </c>
      <c r="I488" t="s">
        <v>48</v>
      </c>
    </row>
    <row r="489" spans="1:9">
      <c r="A489">
        <v>291</v>
      </c>
      <c r="B489" t="s">
        <v>20</v>
      </c>
      <c r="C489" t="s">
        <v>15</v>
      </c>
      <c r="D489">
        <v>129960</v>
      </c>
      <c r="E489">
        <v>825</v>
      </c>
      <c r="F489">
        <v>325</v>
      </c>
      <c r="G489">
        <v>6000</v>
      </c>
      <c r="H489">
        <v>21.66</v>
      </c>
      <c r="I489" t="s">
        <v>48</v>
      </c>
    </row>
    <row r="490" spans="1:9">
      <c r="A490">
        <v>405</v>
      </c>
      <c r="B490" t="s">
        <v>20</v>
      </c>
      <c r="C490" t="s">
        <v>23</v>
      </c>
      <c r="D490">
        <v>129996.24</v>
      </c>
      <c r="E490">
        <v>875</v>
      </c>
      <c r="F490">
        <v>350</v>
      </c>
      <c r="G490">
        <v>6300</v>
      </c>
      <c r="H490" s="1">
        <v>20.634323809523799</v>
      </c>
      <c r="I490" t="s">
        <v>48</v>
      </c>
    </row>
    <row r="491" spans="1:9">
      <c r="A491">
        <v>390</v>
      </c>
      <c r="B491" t="s">
        <v>9</v>
      </c>
      <c r="C491" t="s">
        <v>15</v>
      </c>
      <c r="D491">
        <v>130543.2</v>
      </c>
      <c r="E491">
        <v>875</v>
      </c>
      <c r="F491">
        <v>375</v>
      </c>
      <c r="G491">
        <v>6000</v>
      </c>
      <c r="H491">
        <v>21.757200000000001</v>
      </c>
      <c r="I491" t="s">
        <v>48</v>
      </c>
    </row>
    <row r="492" spans="1:9">
      <c r="A492">
        <v>262</v>
      </c>
      <c r="B492" t="s">
        <v>20</v>
      </c>
      <c r="C492" t="s">
        <v>23</v>
      </c>
      <c r="D492">
        <v>130727.5</v>
      </c>
      <c r="E492">
        <v>875</v>
      </c>
      <c r="F492">
        <v>375</v>
      </c>
      <c r="G492">
        <v>6000</v>
      </c>
      <c r="H492" s="1">
        <v>21.7879166666666</v>
      </c>
      <c r="I492" t="s">
        <v>48</v>
      </c>
    </row>
    <row r="493" spans="1:9">
      <c r="A493">
        <v>265</v>
      </c>
      <c r="B493" t="s">
        <v>9</v>
      </c>
      <c r="C493" t="s">
        <v>23</v>
      </c>
      <c r="D493">
        <v>130821.25</v>
      </c>
      <c r="E493">
        <v>825</v>
      </c>
      <c r="F493">
        <v>200</v>
      </c>
      <c r="G493">
        <v>7500</v>
      </c>
      <c r="H493" s="1">
        <v>17.442833333333301</v>
      </c>
      <c r="I493" t="s">
        <v>48</v>
      </c>
    </row>
    <row r="494" spans="1:9">
      <c r="A494">
        <v>457</v>
      </c>
      <c r="B494" t="s">
        <v>9</v>
      </c>
      <c r="C494" t="s">
        <v>19</v>
      </c>
      <c r="D494">
        <v>131089.71</v>
      </c>
      <c r="E494">
        <v>875</v>
      </c>
      <c r="F494">
        <v>450</v>
      </c>
      <c r="G494">
        <v>5100</v>
      </c>
      <c r="H494" s="1">
        <v>25.7038647058823</v>
      </c>
      <c r="I494" t="s">
        <v>48</v>
      </c>
    </row>
    <row r="495" spans="1:9">
      <c r="A495">
        <v>330</v>
      </c>
      <c r="B495" t="s">
        <v>9</v>
      </c>
      <c r="C495" t="s">
        <v>15</v>
      </c>
      <c r="D495">
        <v>131312.4</v>
      </c>
      <c r="E495">
        <v>975</v>
      </c>
      <c r="F495">
        <v>325</v>
      </c>
      <c r="G495">
        <v>7800</v>
      </c>
      <c r="H495" s="1">
        <v>16.834923076923001</v>
      </c>
      <c r="I495" t="s">
        <v>48</v>
      </c>
    </row>
    <row r="496" spans="1:9">
      <c r="A496">
        <v>464</v>
      </c>
      <c r="B496" t="s">
        <v>9</v>
      </c>
      <c r="C496" t="s">
        <v>23</v>
      </c>
      <c r="D496">
        <v>131588.75</v>
      </c>
      <c r="E496">
        <v>975</v>
      </c>
      <c r="F496">
        <v>200</v>
      </c>
      <c r="G496">
        <v>9300</v>
      </c>
      <c r="H496" s="1">
        <v>14.1493279569892</v>
      </c>
      <c r="I496" t="s">
        <v>48</v>
      </c>
    </row>
    <row r="497" spans="1:9">
      <c r="A497">
        <v>459</v>
      </c>
      <c r="B497" t="s">
        <v>9</v>
      </c>
      <c r="C497" t="s">
        <v>19</v>
      </c>
      <c r="D497">
        <v>132718.23000000001</v>
      </c>
      <c r="E497">
        <v>825</v>
      </c>
      <c r="F497">
        <v>275</v>
      </c>
      <c r="G497">
        <v>6600</v>
      </c>
      <c r="H497" s="1">
        <v>20.108822727272699</v>
      </c>
      <c r="I497" t="s">
        <v>48</v>
      </c>
    </row>
    <row r="498" spans="1:9">
      <c r="A498">
        <v>471</v>
      </c>
      <c r="B498" t="s">
        <v>9</v>
      </c>
      <c r="C498" t="s">
        <v>19</v>
      </c>
      <c r="D498">
        <v>133112.5</v>
      </c>
      <c r="E498">
        <v>825</v>
      </c>
      <c r="F498">
        <v>325</v>
      </c>
      <c r="G498">
        <v>6000</v>
      </c>
      <c r="H498" s="1">
        <v>22.185416666666601</v>
      </c>
      <c r="I498" t="s">
        <v>48</v>
      </c>
    </row>
    <row r="499" spans="1:9">
      <c r="A499">
        <v>487</v>
      </c>
      <c r="B499" t="s">
        <v>9</v>
      </c>
      <c r="C499" t="s">
        <v>15</v>
      </c>
      <c r="D499">
        <v>133226.25</v>
      </c>
      <c r="E499">
        <v>875</v>
      </c>
      <c r="F499">
        <v>350</v>
      </c>
      <c r="G499">
        <v>6300</v>
      </c>
      <c r="H499" s="1">
        <v>21.147023809523802</v>
      </c>
      <c r="I499" t="s">
        <v>48</v>
      </c>
    </row>
    <row r="500" spans="1:9">
      <c r="A500">
        <v>260</v>
      </c>
      <c r="B500" t="s">
        <v>9</v>
      </c>
      <c r="C500" t="s">
        <v>15</v>
      </c>
      <c r="D500">
        <v>134225</v>
      </c>
      <c r="E500">
        <v>950</v>
      </c>
      <c r="F500">
        <v>375</v>
      </c>
      <c r="G500">
        <v>6900</v>
      </c>
      <c r="H500" s="1">
        <v>19.452898550724601</v>
      </c>
      <c r="I500" t="s">
        <v>48</v>
      </c>
    </row>
    <row r="501" spans="1:9">
      <c r="A501">
        <v>259</v>
      </c>
      <c r="B501" t="s">
        <v>20</v>
      </c>
      <c r="C501" t="s">
        <v>10</v>
      </c>
      <c r="D501">
        <v>134545</v>
      </c>
      <c r="E501">
        <v>950</v>
      </c>
      <c r="F501">
        <v>400</v>
      </c>
      <c r="G501">
        <v>6600</v>
      </c>
      <c r="H501" s="1">
        <v>20.385606060606001</v>
      </c>
      <c r="I501" t="s">
        <v>48</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374C-1F97-B245-BFCF-EFACFAA672A2}">
  <dimension ref="A4:P40"/>
  <sheetViews>
    <sheetView zoomScale="112" workbookViewId="0">
      <selection activeCell="N6" sqref="N6"/>
    </sheetView>
  </sheetViews>
  <sheetFormatPr baseColWidth="10" defaultRowHeight="16"/>
  <cols>
    <col min="1" max="16384" width="10.83203125" style="8"/>
  </cols>
  <sheetData>
    <row r="4" spans="1:14">
      <c r="A4" s="8" t="s">
        <v>74</v>
      </c>
    </row>
    <row r="11" spans="1:14">
      <c r="N11" s="8" t="s">
        <v>73</v>
      </c>
    </row>
    <row r="17" spans="16:16">
      <c r="P17" s="9"/>
    </row>
    <row r="36" spans="4:14" ht="17">
      <c r="D36" s="27" t="s">
        <v>75</v>
      </c>
      <c r="E36" s="27"/>
      <c r="F36" s="27" t="s">
        <v>76</v>
      </c>
      <c r="G36" s="27"/>
      <c r="H36" s="27"/>
      <c r="I36" s="27" t="s">
        <v>90</v>
      </c>
      <c r="J36" s="27"/>
      <c r="K36" s="27"/>
      <c r="L36" s="27" t="s">
        <v>91</v>
      </c>
      <c r="M36" s="27"/>
      <c r="N36" s="27"/>
    </row>
    <row r="37" spans="4:14" ht="49" customHeight="1">
      <c r="D37" s="30" t="s">
        <v>77</v>
      </c>
      <c r="E37" s="30"/>
      <c r="F37" s="28" t="s">
        <v>78</v>
      </c>
      <c r="G37" s="28"/>
      <c r="H37" s="28"/>
      <c r="I37" s="28" t="s">
        <v>79</v>
      </c>
      <c r="J37" s="28"/>
      <c r="K37" s="28"/>
      <c r="L37" s="29" t="s">
        <v>80</v>
      </c>
      <c r="M37" s="29"/>
      <c r="N37" s="29"/>
    </row>
    <row r="38" spans="4:14" ht="49" customHeight="1">
      <c r="D38" s="30" t="s">
        <v>81</v>
      </c>
      <c r="E38" s="30"/>
      <c r="F38" s="28" t="s">
        <v>82</v>
      </c>
      <c r="G38" s="28"/>
      <c r="H38" s="28"/>
      <c r="I38" s="28" t="s">
        <v>83</v>
      </c>
      <c r="J38" s="28"/>
      <c r="K38" s="28"/>
      <c r="L38" s="29" t="s">
        <v>84</v>
      </c>
      <c r="M38" s="29"/>
      <c r="N38" s="29"/>
    </row>
    <row r="39" spans="4:14" ht="49" customHeight="1">
      <c r="D39" s="30" t="s">
        <v>92</v>
      </c>
      <c r="E39" s="30"/>
      <c r="F39" s="28" t="s">
        <v>85</v>
      </c>
      <c r="G39" s="28"/>
      <c r="H39" s="28"/>
      <c r="I39" s="28" t="s">
        <v>109</v>
      </c>
      <c r="J39" s="28"/>
      <c r="K39" s="28"/>
      <c r="L39" s="29" t="s">
        <v>86</v>
      </c>
      <c r="M39" s="29"/>
      <c r="N39" s="29"/>
    </row>
    <row r="40" spans="4:14" ht="49" customHeight="1">
      <c r="D40" s="30" t="s">
        <v>93</v>
      </c>
      <c r="E40" s="30"/>
      <c r="F40" s="28" t="s">
        <v>87</v>
      </c>
      <c r="G40" s="28"/>
      <c r="H40" s="28"/>
      <c r="I40" s="28" t="s">
        <v>88</v>
      </c>
      <c r="J40" s="28"/>
      <c r="K40" s="28"/>
      <c r="L40" s="29" t="s">
        <v>89</v>
      </c>
      <c r="M40" s="29"/>
      <c r="N40" s="29"/>
    </row>
  </sheetData>
  <mergeCells count="20">
    <mergeCell ref="D40:E40"/>
    <mergeCell ref="D39:E39"/>
    <mergeCell ref="D38:E38"/>
    <mergeCell ref="D37:E37"/>
    <mergeCell ref="D36:E36"/>
    <mergeCell ref="L36:N36"/>
    <mergeCell ref="L37:N37"/>
    <mergeCell ref="L38:N38"/>
    <mergeCell ref="L39:N39"/>
    <mergeCell ref="L40:N40"/>
    <mergeCell ref="F36:H36"/>
    <mergeCell ref="F37:H37"/>
    <mergeCell ref="F38:H38"/>
    <mergeCell ref="F39:H39"/>
    <mergeCell ref="F40:H40"/>
    <mergeCell ref="I36:K36"/>
    <mergeCell ref="I37:K37"/>
    <mergeCell ref="I38:K38"/>
    <mergeCell ref="I39:K39"/>
    <mergeCell ref="I40:K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Executive_Dashboard</vt:lpstr>
      <vt:lpstr>Dashboard_Data</vt:lpstr>
      <vt:lpstr>MASTER_UNIFIED_PORTFOLIO</vt:lpstr>
      <vt:lpstr>Pivots</vt:lpstr>
      <vt:lpstr>Calc</vt:lpstr>
      <vt:lpstr>UnLeased</vt:lpstr>
      <vt:lpstr>LeaseUp</vt:lpstr>
      <vt:lpstr>PayBack</vt:lpstr>
      <vt:lpstr>OLDExecutive_Dashboard</vt:lpstr>
      <vt:lpstr>Master</vt:lpstr>
      <vt:lpstr>SBDATA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Blair</dc:creator>
  <cp:lastModifiedBy>Susan Blair</cp:lastModifiedBy>
  <dcterms:created xsi:type="dcterms:W3CDTF">2026-07-29T02:52:40Z</dcterms:created>
  <dcterms:modified xsi:type="dcterms:W3CDTF">2026-09-23T18:57:15Z</dcterms:modified>
</cp:coreProperties>
</file>